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gt1121\Downloads\"/>
    </mc:Choice>
  </mc:AlternateContent>
  <xr:revisionPtr revIDLastSave="0" documentId="13_ncr:1_{9E866CFA-9B57-4A74-B14C-D2994C5B1C24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ead Me" sheetId="1" r:id="rId1"/>
    <sheet name="Test Config" sheetId="2" r:id="rId2"/>
    <sheet name="Execution Log" sheetId="3" r:id="rId3"/>
    <sheet name="Resource Utilization" sheetId="4" r:id="rId4"/>
    <sheet name="Observations &amp; Defects" sheetId="5" r:id="rId5"/>
    <sheet name="Dashboard" sheetId="6" r:id="rId6"/>
    <sheet name="Sign-off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" i="6" l="1"/>
  <c r="B6" i="6"/>
  <c r="H67" i="3"/>
  <c r="G65" i="3"/>
  <c r="G64" i="3"/>
  <c r="I64" i="3" s="1"/>
  <c r="G63" i="3"/>
  <c r="I62" i="3"/>
  <c r="G62" i="3"/>
  <c r="G61" i="3"/>
  <c r="G60" i="3"/>
  <c r="I60" i="3" s="1"/>
  <c r="G59" i="3"/>
  <c r="G58" i="3"/>
  <c r="I58" i="3" s="1"/>
  <c r="G57" i="3"/>
  <c r="G56" i="3"/>
  <c r="G55" i="3"/>
  <c r="G54" i="3"/>
  <c r="I54" i="3" s="1"/>
  <c r="G53" i="3"/>
  <c r="G52" i="3"/>
  <c r="G51" i="3"/>
  <c r="G50" i="3"/>
  <c r="G49" i="3"/>
  <c r="G48" i="3"/>
  <c r="G47" i="3"/>
  <c r="I46" i="3"/>
  <c r="G46" i="3"/>
  <c r="G45" i="3"/>
  <c r="G44" i="3"/>
  <c r="G43" i="3"/>
  <c r="G42" i="3"/>
  <c r="G41" i="3"/>
  <c r="I40" i="3"/>
  <c r="G40" i="3"/>
  <c r="G39" i="3"/>
  <c r="G38" i="3"/>
  <c r="I38" i="3" s="1"/>
  <c r="G37" i="3"/>
  <c r="G36" i="3"/>
  <c r="I36" i="3" s="1"/>
  <c r="G35" i="3"/>
  <c r="G34" i="3"/>
  <c r="G33" i="3"/>
  <c r="G32" i="3"/>
  <c r="G31" i="3"/>
  <c r="I30" i="3"/>
  <c r="G30" i="3"/>
  <c r="G29" i="3"/>
  <c r="G28" i="3"/>
  <c r="I28" i="3" s="1"/>
  <c r="G27" i="3"/>
  <c r="G26" i="3"/>
  <c r="G25" i="3"/>
  <c r="I24" i="3"/>
  <c r="G24" i="3"/>
  <c r="G23" i="3"/>
  <c r="G22" i="3"/>
  <c r="G21" i="3"/>
  <c r="G20" i="3"/>
  <c r="G19" i="3"/>
  <c r="G18" i="3"/>
  <c r="G17" i="3"/>
  <c r="G16" i="3"/>
  <c r="I15" i="3"/>
  <c r="G15" i="3"/>
  <c r="G14" i="3"/>
  <c r="G13" i="3"/>
  <c r="I13" i="3" s="1"/>
  <c r="G12" i="3"/>
  <c r="I11" i="3"/>
  <c r="G11" i="3"/>
  <c r="G10" i="3"/>
  <c r="G9" i="3"/>
  <c r="G8" i="3"/>
  <c r="I7" i="3"/>
  <c r="G7" i="3"/>
  <c r="G6" i="3"/>
  <c r="M53" i="3" l="1"/>
  <c r="L53" i="3"/>
  <c r="I53" i="3"/>
  <c r="M25" i="3"/>
  <c r="L25" i="3"/>
  <c r="I25" i="3"/>
  <c r="M52" i="3"/>
  <c r="L52" i="3"/>
  <c r="M16" i="3"/>
  <c r="L16" i="3"/>
  <c r="M47" i="3"/>
  <c r="L47" i="3"/>
  <c r="I47" i="3"/>
  <c r="M65" i="3"/>
  <c r="L65" i="3"/>
  <c r="I65" i="3"/>
  <c r="M20" i="3"/>
  <c r="L20" i="3"/>
  <c r="M26" i="3"/>
  <c r="L26" i="3"/>
  <c r="M42" i="3"/>
  <c r="L42" i="3"/>
  <c r="I52" i="3"/>
  <c r="M21" i="3"/>
  <c r="L21" i="3"/>
  <c r="I21" i="3"/>
  <c r="I26" i="3"/>
  <c r="M48" i="3"/>
  <c r="L48" i="3"/>
  <c r="M9" i="3"/>
  <c r="L9" i="3"/>
  <c r="M22" i="3"/>
  <c r="L22" i="3"/>
  <c r="M43" i="3"/>
  <c r="L43" i="3"/>
  <c r="I43" i="3"/>
  <c r="I48" i="3"/>
  <c r="I22" i="3"/>
  <c r="M44" i="3"/>
  <c r="L44" i="3"/>
  <c r="M6" i="3"/>
  <c r="L6" i="3"/>
  <c r="M14" i="3"/>
  <c r="L14" i="3"/>
  <c r="M18" i="3"/>
  <c r="L18" i="3"/>
  <c r="M34" i="3"/>
  <c r="L34" i="3"/>
  <c r="I44" i="3"/>
  <c r="M50" i="3"/>
  <c r="L50" i="3"/>
  <c r="M55" i="3"/>
  <c r="L55" i="3"/>
  <c r="I55" i="3"/>
  <c r="M57" i="3"/>
  <c r="L57" i="3"/>
  <c r="I57" i="3"/>
  <c r="M12" i="3"/>
  <c r="L12" i="3"/>
  <c r="I20" i="3"/>
  <c r="M58" i="3"/>
  <c r="L58" i="3"/>
  <c r="I12" i="3"/>
  <c r="M32" i="3"/>
  <c r="L32" i="3"/>
  <c r="I42" i="3"/>
  <c r="M13" i="3"/>
  <c r="L13" i="3"/>
  <c r="M27" i="3"/>
  <c r="L27" i="3"/>
  <c r="I27" i="3"/>
  <c r="I32" i="3"/>
  <c r="M59" i="3"/>
  <c r="L59" i="3"/>
  <c r="I59" i="3"/>
  <c r="I9" i="3"/>
  <c r="M28" i="3"/>
  <c r="L28" i="3"/>
  <c r="M60" i="3"/>
  <c r="L60" i="3"/>
  <c r="M10" i="3"/>
  <c r="L10" i="3"/>
  <c r="M23" i="3"/>
  <c r="L23" i="3"/>
  <c r="I23" i="3"/>
  <c r="M39" i="3"/>
  <c r="L39" i="3"/>
  <c r="I39" i="3"/>
  <c r="I6" i="3"/>
  <c r="I10" i="3"/>
  <c r="I14" i="3"/>
  <c r="I18" i="3"/>
  <c r="M24" i="3"/>
  <c r="L24" i="3"/>
  <c r="M29" i="3"/>
  <c r="L29" i="3"/>
  <c r="I29" i="3"/>
  <c r="I34" i="3"/>
  <c r="M40" i="3"/>
  <c r="L40" i="3"/>
  <c r="M45" i="3"/>
  <c r="L45" i="3"/>
  <c r="I45" i="3"/>
  <c r="I50" i="3"/>
  <c r="M56" i="3"/>
  <c r="L56" i="3"/>
  <c r="M61" i="3"/>
  <c r="L61" i="3"/>
  <c r="I61" i="3"/>
  <c r="M36" i="3"/>
  <c r="L36" i="3"/>
  <c r="M41" i="3"/>
  <c r="L41" i="3"/>
  <c r="I41" i="3"/>
  <c r="M8" i="3"/>
  <c r="L8" i="3"/>
  <c r="M31" i="3"/>
  <c r="L31" i="3"/>
  <c r="I31" i="3"/>
  <c r="M63" i="3"/>
  <c r="L63" i="3"/>
  <c r="I63" i="3"/>
  <c r="I8" i="3"/>
  <c r="I16" i="3"/>
  <c r="M37" i="3"/>
  <c r="L37" i="3"/>
  <c r="I37" i="3"/>
  <c r="M64" i="3"/>
  <c r="L64" i="3"/>
  <c r="M17" i="3"/>
  <c r="L17" i="3"/>
  <c r="M38" i="3"/>
  <c r="L38" i="3"/>
  <c r="M54" i="3"/>
  <c r="L54" i="3"/>
  <c r="I17" i="3"/>
  <c r="M33" i="3"/>
  <c r="L33" i="3"/>
  <c r="I33" i="3"/>
  <c r="M49" i="3"/>
  <c r="L49" i="3"/>
  <c r="I49" i="3"/>
  <c r="M7" i="3"/>
  <c r="L7" i="3"/>
  <c r="M11" i="3"/>
  <c r="L11" i="3"/>
  <c r="M15" i="3"/>
  <c r="L15" i="3"/>
  <c r="M19" i="3"/>
  <c r="L19" i="3"/>
  <c r="I19" i="3"/>
  <c r="M30" i="3"/>
  <c r="L30" i="3"/>
  <c r="M35" i="3"/>
  <c r="L35" i="3"/>
  <c r="I35" i="3"/>
  <c r="M46" i="3"/>
  <c r="L46" i="3"/>
  <c r="M51" i="3"/>
  <c r="L51" i="3"/>
  <c r="I51" i="3"/>
  <c r="I56" i="3"/>
  <c r="M62" i="3"/>
  <c r="L62" i="3"/>
  <c r="F9" i="6" l="1"/>
  <c r="C31" i="6"/>
  <c r="C30" i="6"/>
  <c r="D9" i="6"/>
  <c r="B9" i="6"/>
  <c r="F6" i="6"/>
  <c r="M6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3" authorId="0" shapeId="0" xr:uid="{00000000-0006-0000-0100-000001000000}">
      <text>
        <r>
          <rPr>
            <sz val="10"/>
            <rFont val="Arial"/>
            <family val="2"/>
          </rPr>
          <t>This % feeds the PASS/FAIL tolerance formula on the Execution Log sheet.</t>
        </r>
      </text>
    </comment>
  </commentList>
</comments>
</file>

<file path=xl/sharedStrings.xml><?xml version="1.0" encoding="utf-8"?>
<sst xmlns="http://schemas.openxmlformats.org/spreadsheetml/2006/main" count="108" uniqueCount="98">
  <si>
    <t>BATCH JOB PERFORMANCE TEST REPORT</t>
  </si>
  <si>
    <t>Template for reporting batch/EOD-BOD job performance test outcomes</t>
  </si>
  <si>
    <t>Purpose</t>
  </si>
  <si>
    <t>Standard template to record, analyze and report the performance test outcomes of batch jobs (e.g. EOD/BOD, interest accrual, interface uploads) executed as part of a performance test cycle.</t>
  </si>
  <si>
    <t>How to use</t>
  </si>
  <si>
    <t>1. Fill 'Test Config' with environment, tooling and scope details.
2. Log every batch execution (each run/cycle) in 'Execution Log' — one row per batch job per run.
3. Record server-side resource usage in 'Resource Utilization' for the same runs.
4. Log any issues/deviations found in 'Observations &amp; Defects'.
5. 'Dashboard' auto-summarizes pass/fail status and duration trend from the Execution Log — no manual entry needed.
6. Complete 'Sign-off' before sharing the report externally.</t>
  </si>
  <si>
    <t>Status logic</t>
  </si>
  <si>
    <t>Status in Execution Log is auto-calculated: PASS if Actual Duration &lt;= SLA Duration (with tolerance %), else FAIL.</t>
  </si>
  <si>
    <t>Color legend</t>
  </si>
  <si>
    <t>Yellow cells = manual input.  White cells = auto-calculated formulas, do not overwrite.</t>
  </si>
  <si>
    <t>Sheets</t>
  </si>
  <si>
    <t>1. Read Me
2. Test Config
3. Execution Log
4. Resource Utilization
5. Observations &amp; Defects
6. Dashboard
7. Sign-off</t>
  </si>
  <si>
    <t>TEST CONFIGURATION</t>
  </si>
  <si>
    <t>Environment, scope and tooling details for this performance test cycle</t>
  </si>
  <si>
    <t>Project / Engagement</t>
  </si>
  <si>
    <t>Application / Module</t>
  </si>
  <si>
    <t>Core Banking Platform</t>
  </si>
  <si>
    <t>Environment (Env / Sizing)</t>
  </si>
  <si>
    <t>Test Type</t>
  </si>
  <si>
    <t>Batch Performance Test</t>
  </si>
  <si>
    <t>Testing Tool</t>
  </si>
  <si>
    <t>JMeter</t>
  </si>
  <si>
    <t>Test Window / Cycle</t>
  </si>
  <si>
    <t>Batch Scheduler</t>
  </si>
  <si>
    <t>e.g. Control-M / Autosys / cron</t>
  </si>
  <si>
    <t>Data Volume (Production-like %)</t>
  </si>
  <si>
    <t>Database</t>
  </si>
  <si>
    <t>Server Specs (App/DB)</t>
  </si>
  <si>
    <t>Number of Batch Jobs in Scope</t>
  </si>
  <si>
    <t>Test Start Date</t>
  </si>
  <si>
    <t>Test End Date</t>
  </si>
  <si>
    <t>Conducted By</t>
  </si>
  <si>
    <t>SLA Tolerance (%)</t>
  </si>
  <si>
    <t>BATCH JOBS IN SCOPE</t>
  </si>
  <si>
    <t>Sr No</t>
  </si>
  <si>
    <t>Batch Job Name</t>
  </si>
  <si>
    <t>Description</t>
  </si>
  <si>
    <t>SLA Duration (mins)</t>
  </si>
  <si>
    <t>Business Priority</t>
  </si>
  <si>
    <t>BATCH JOB EXECUTION LOG</t>
  </si>
  <si>
    <t>One row per batch job execution / run / cycle</t>
  </si>
  <si>
    <t>Run / Cycle</t>
  </si>
  <si>
    <t>Exec Date</t>
  </si>
  <si>
    <t>Start Time</t>
  </si>
  <si>
    <t>End Time</t>
  </si>
  <si>
    <t>Actual Duration (mins)</t>
  </si>
  <si>
    <t>Records Processed</t>
  </si>
  <si>
    <t>Throughput (rec/min)</t>
  </si>
  <si>
    <t>Baseline Duration (mins)</t>
  </si>
  <si>
    <t>Variance vs SLA (%)</t>
  </si>
  <si>
    <t>Status</t>
  </si>
  <si>
    <t>Env</t>
  </si>
  <si>
    <t>Remarks</t>
  </si>
  <si>
    <t>TOTAL / SUMMARY</t>
  </si>
  <si>
    <t>SERVER RESOURCE UTILIZATION</t>
  </si>
  <si>
    <t>Captured during each batch execution / run</t>
  </si>
  <si>
    <t>Run/Cycle</t>
  </si>
  <si>
    <t>Server</t>
  </si>
  <si>
    <t>CPU Avg (%)</t>
  </si>
  <si>
    <t>CPU Peak (%)</t>
  </si>
  <si>
    <t>Mem Avg (%)</t>
  </si>
  <si>
    <t>Mem Peak (%)</t>
  </si>
  <si>
    <t>DB Conn (Avg)</t>
  </si>
  <si>
    <t>Disk I/O (MB/s)</t>
  </si>
  <si>
    <t>Network (Mbps)</t>
  </si>
  <si>
    <t>OBSERVATIONS &amp; DEFECTS LOG</t>
  </si>
  <si>
    <t>Performance deviations, bottlenecks and issues identified during testing</t>
  </si>
  <si>
    <t>Severity</t>
  </si>
  <si>
    <t>Observation / Issue Description</t>
  </si>
  <si>
    <t>Root Cause</t>
  </si>
  <si>
    <t>Recommendation</t>
  </si>
  <si>
    <t>Owner</t>
  </si>
  <si>
    <t>EXECUTIVE DASHBOARD</t>
  </si>
  <si>
    <t>Auto-generated summary from Execution Log — refresh via formulas, no manual entry</t>
  </si>
  <si>
    <t>Total Batch Jobs Tested</t>
  </si>
  <si>
    <t>Total Runs Executed</t>
  </si>
  <si>
    <t>Pass Count</t>
  </si>
  <si>
    <t>Fail Count</t>
  </si>
  <si>
    <t>Pass %</t>
  </si>
  <si>
    <t>Avg Variance vs SLA (%)</t>
  </si>
  <si>
    <t>PASS</t>
  </si>
  <si>
    <t>FAIL</t>
  </si>
  <si>
    <t>TEST SIGN-OFF</t>
  </si>
  <si>
    <t>Approval record for the performance test outcome report</t>
  </si>
  <si>
    <t>Overall Test Verdict</t>
  </si>
  <si>
    <t>Total Jobs Tested</t>
  </si>
  <si>
    <t>Total Pass</t>
  </si>
  <si>
    <t>Total Fail</t>
  </si>
  <si>
    <t>Key Risks / Open Items</t>
  </si>
  <si>
    <t>APPROVALS</t>
  </si>
  <si>
    <t>Role</t>
  </si>
  <si>
    <t>Name</t>
  </si>
  <si>
    <t>Signature / Email Approval</t>
  </si>
  <si>
    <t>Date</t>
  </si>
  <si>
    <t>Prepared By (Performance Tester)</t>
  </si>
  <si>
    <t>Reviewed By (Test Lead)</t>
  </si>
  <si>
    <t>Approved By (Project Manager)</t>
  </si>
  <si>
    <t>Client Sign-off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</si>
</sst>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hh:mm:ss"/>
    <numFmt numFmtId="166" formatCode="0.0%;\(0.0%\)"/>
  </numFmts>
  <fonts count="11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i/>
      <sz val="10"/>
      <color rgb="FF7F7F7F"/>
      <name val="Calibri"/>
      <charset val="1"/>
    </font>
    <font>
      <b/>
      <sz val="10"/>
      <color rgb="FF1F3864"/>
      <name val="Calibri"/>
      <charset val="1"/>
    </font>
    <font>
      <sz val="10"/>
      <name val="Calibri"/>
      <charset val="1"/>
    </font>
    <font>
      <b/>
      <sz val="11"/>
      <color rgb="FFFFFFFF"/>
      <name val="Calibri"/>
      <charset val="1"/>
    </font>
    <font>
      <b/>
      <sz val="10"/>
      <color rgb="FFFFFFFF"/>
      <name val="Calibri"/>
      <charset val="1"/>
    </font>
    <font>
      <sz val="10"/>
      <name val="Arial"/>
      <family val="2"/>
    </font>
    <font>
      <b/>
      <sz val="10"/>
      <name val="Calibri"/>
      <charset val="1"/>
    </font>
    <font>
      <b/>
      <sz val="9"/>
      <color rgb="FF7F7F7F"/>
      <name val="Calibri"/>
      <charset val="1"/>
    </font>
    <font>
      <b/>
      <sz val="20"/>
      <color rgb="FF1F3864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9F9F9"/>
      </patternFill>
    </fill>
    <fill>
      <patternFill patternType="solid">
        <fgColor rgb="FF2E5395"/>
        <bgColor rgb="FF1F3864"/>
      </patternFill>
    </fill>
    <fill>
      <patternFill patternType="solid">
        <fgColor rgb="FFFFFFFF"/>
        <bgColor rgb="FFF9F9F9"/>
      </patternFill>
    </fill>
    <fill>
      <patternFill patternType="solid">
        <fgColor rgb="FFD9E2F3"/>
        <bgColor rgb="FFD9D9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166" fontId="10" fillId="6" borderId="1" xfId="0" applyNumberFormat="1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5" fillId="4" borderId="0" xfId="0" applyFont="1" applyFill="1"/>
    <xf numFmtId="0" fontId="4" fillId="0" borderId="0" xfId="0" applyFont="1" applyAlignment="1">
      <alignment vertical="top" wrapText="1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0" xfId="0" applyFont="1"/>
    <xf numFmtId="0" fontId="4" fillId="3" borderId="1" xfId="0" applyFont="1" applyFill="1" applyBorder="1"/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6" fontId="4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4" fillId="0" borderId="0" xfId="0" applyFont="1"/>
    <xf numFmtId="0" fontId="4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12"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C6E0B4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9BBB59"/>
      <rgbColor rgb="FF800080"/>
      <rgbColor rgb="FF008080"/>
      <rgbColor rgb="FFBFBFBF"/>
      <rgbColor rgb="FF7F7F7F"/>
      <rgbColor rgb="FF9999FF"/>
      <rgbColor rgb="FFC0504D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2D050"/>
      <rgbColor rgb="FFFFC000"/>
      <rgbColor rgb="FFFF9900"/>
      <rgbColor rgb="FFFF6600"/>
      <rgbColor rgb="FF4F81BD"/>
      <rgbColor rgb="FF878787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Actual vs SLA vs Baseline Duration (mins) — by Execution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'Execution Log'!$G$5</c:f>
              <c:strCache>
                <c:ptCount val="1"/>
                <c:pt idx="0">
                  <c:v>Actual Duration (mins)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'Execution Log'!$B$6:$B$25</c:f>
              <c:numCache>
                <c:formatCode>General</c:formatCode>
                <c:ptCount val="20"/>
              </c:numCache>
            </c:numRef>
          </c:cat>
          <c:val>
            <c:numRef>
              <c:f>'Execution Log'!$G$6:$G$25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7-4AE9-AA2C-7A4DFE803973}"/>
            </c:ext>
          </c:extLst>
        </c:ser>
        <c:ser>
          <c:idx val="1"/>
          <c:order val="1"/>
          <c:tx>
            <c:strRef>
              <c:f>'Execution Log'!$K$5</c:f>
              <c:strCache>
                <c:ptCount val="1"/>
                <c:pt idx="0">
                  <c:v>SLA Duration (mins)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'Execution Log'!$B$6:$B$25</c:f>
              <c:numCache>
                <c:formatCode>General</c:formatCode>
                <c:ptCount val="20"/>
              </c:numCache>
            </c:numRef>
          </c:cat>
          <c:val>
            <c:numRef>
              <c:f>'Execution Log'!$K$6:$K$25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1-ED07-4AE9-AA2C-7A4DFE803973}"/>
            </c:ext>
          </c:extLst>
        </c:ser>
        <c:ser>
          <c:idx val="2"/>
          <c:order val="2"/>
          <c:tx>
            <c:strRef>
              <c:f>'Execution Log'!$J$5</c:f>
              <c:strCache>
                <c:ptCount val="1"/>
                <c:pt idx="0">
                  <c:v>Baseline Duration (mins)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'Execution Log'!$B$6:$B$25</c:f>
              <c:numCache>
                <c:formatCode>General</c:formatCode>
                <c:ptCount val="20"/>
              </c:numCache>
            </c:numRef>
          </c:cat>
          <c:val>
            <c:numRef>
              <c:f>'Execution Log'!$J$6:$J$25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2-ED07-4AE9-AA2C-7A4DFE803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744532"/>
        <c:axId val="15547171"/>
      </c:barChart>
      <c:catAx>
        <c:axId val="3174453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Batch Job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547171"/>
        <c:crosses val="autoZero"/>
        <c:auto val="1"/>
        <c:lblAlgn val="ctr"/>
        <c:lblOffset val="100"/>
        <c:noMultiLvlLbl val="0"/>
      </c:catAx>
      <c:valAx>
        <c:axId val="155471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7445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Pass / Fail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03F1-4670-BA0B-D83FBEE08521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3F1-4670-BA0B-D83FBEE08521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03F1-4670-BA0B-D83FBEE08521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03F1-4670-BA0B-D83FBEE0852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Dashboard!$B$30:$B$31</c:f>
              <c:strCache>
                <c:ptCount val="2"/>
                <c:pt idx="0">
                  <c:v>PASS</c:v>
                </c:pt>
                <c:pt idx="1">
                  <c:v>FAIL</c:v>
                </c:pt>
              </c:strCache>
            </c:strRef>
          </c:cat>
          <c:val>
            <c:numRef>
              <c:f>Dashboard!$C$30:$C$31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F1-4670-BA0B-D83FBEE085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8</xdr:col>
      <xdr:colOff>321480</xdr:colOff>
      <xdr:row>29</xdr:row>
      <xdr:rowOff>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12</xdr:row>
      <xdr:rowOff>0</xdr:rowOff>
    </xdr:from>
    <xdr:to>
      <xdr:col>20</xdr:col>
      <xdr:colOff>38520</xdr:colOff>
      <xdr:row>29</xdr:row>
      <xdr:rowOff>360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showGridLines="0" tabSelected="1" zoomScaleNormal="100" workbookViewId="0">
      <selection activeCell="C7" sqref="C7:E7"/>
    </sheetView>
  </sheetViews>
  <sheetFormatPr defaultColWidth="8.6328125" defaultRowHeight="14.5" x14ac:dyDescent="0.35"/>
  <cols>
    <col min="1" max="1" width="4" customWidth="1"/>
    <col min="2" max="2" width="34" customWidth="1"/>
    <col min="3" max="3" width="60" customWidth="1"/>
    <col min="4" max="5" width="20" customWidth="1"/>
  </cols>
  <sheetData>
    <row r="1" spans="1:5" ht="21.75" customHeight="1" x14ac:dyDescent="0.35">
      <c r="A1" s="7" t="s">
        <v>0</v>
      </c>
      <c r="B1" s="7"/>
      <c r="C1" s="7"/>
      <c r="D1" s="7"/>
      <c r="E1" s="7"/>
    </row>
    <row r="2" spans="1:5" ht="21.75" customHeight="1" x14ac:dyDescent="0.35">
      <c r="A2" s="7"/>
      <c r="B2" s="7"/>
      <c r="C2" s="7"/>
      <c r="D2" s="7"/>
      <c r="E2" s="7"/>
    </row>
    <row r="3" spans="1:5" ht="15.75" customHeight="1" x14ac:dyDescent="0.35">
      <c r="A3" s="6" t="s">
        <v>1</v>
      </c>
      <c r="B3" s="6"/>
      <c r="C3" s="6"/>
      <c r="D3" s="6"/>
      <c r="E3" s="6"/>
    </row>
    <row r="5" spans="1:5" ht="30.5" customHeight="1" x14ac:dyDescent="0.35">
      <c r="B5" s="8" t="s">
        <v>2</v>
      </c>
      <c r="C5" s="5" t="s">
        <v>3</v>
      </c>
      <c r="D5" s="5"/>
      <c r="E5" s="5"/>
    </row>
    <row r="7" spans="1:5" ht="90" customHeight="1" x14ac:dyDescent="0.35">
      <c r="B7" s="8" t="s">
        <v>4</v>
      </c>
      <c r="C7" s="5" t="s">
        <v>5</v>
      </c>
      <c r="D7" s="5"/>
      <c r="E7" s="5"/>
    </row>
    <row r="9" spans="1:5" ht="18" customHeight="1" x14ac:dyDescent="0.35">
      <c r="B9" s="8" t="s">
        <v>6</v>
      </c>
      <c r="C9" s="5" t="s">
        <v>7</v>
      </c>
      <c r="D9" s="5"/>
      <c r="E9" s="5"/>
    </row>
    <row r="11" spans="1:5" ht="18" customHeight="1" x14ac:dyDescent="0.35">
      <c r="B11" s="8" t="s">
        <v>8</v>
      </c>
      <c r="C11" s="5" t="s">
        <v>9</v>
      </c>
      <c r="D11" s="5"/>
      <c r="E11" s="5"/>
    </row>
    <row r="13" spans="1:5" ht="105" customHeight="1" x14ac:dyDescent="0.35">
      <c r="B13" s="8" t="s">
        <v>10</v>
      </c>
      <c r="C13" s="5" t="s">
        <v>11</v>
      </c>
      <c r="D13" s="5"/>
      <c r="E13" s="5"/>
    </row>
  </sheetData>
  <mergeCells count="7">
    <mergeCell ref="C11:E11"/>
    <mergeCell ref="C13:E13"/>
    <mergeCell ref="A1:E2"/>
    <mergeCell ref="A3:E3"/>
    <mergeCell ref="C5:E5"/>
    <mergeCell ref="C7:E7"/>
    <mergeCell ref="C9:E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showGridLines="0" zoomScaleNormal="100" workbookViewId="0">
      <selection activeCell="E12" sqref="E12"/>
    </sheetView>
  </sheetViews>
  <sheetFormatPr defaultColWidth="8.6328125" defaultRowHeight="14.5" x14ac:dyDescent="0.35"/>
  <cols>
    <col min="1" max="1" width="4" customWidth="1"/>
    <col min="2" max="2" width="30" customWidth="1"/>
    <col min="3" max="3" width="45" customWidth="1"/>
    <col min="4" max="4" width="30" customWidth="1"/>
    <col min="5" max="5" width="45" customWidth="1"/>
  </cols>
  <sheetData>
    <row r="1" spans="1:6" ht="21.75" customHeight="1" x14ac:dyDescent="0.35">
      <c r="A1" s="7" t="s">
        <v>12</v>
      </c>
      <c r="B1" s="7"/>
      <c r="C1" s="7"/>
      <c r="D1" s="7"/>
      <c r="E1" s="7"/>
    </row>
    <row r="2" spans="1:6" ht="21.75" customHeight="1" x14ac:dyDescent="0.35">
      <c r="A2" s="7"/>
      <c r="B2" s="7"/>
      <c r="C2" s="7"/>
      <c r="D2" s="7"/>
      <c r="E2" s="7"/>
    </row>
    <row r="3" spans="1:6" ht="15.75" customHeight="1" x14ac:dyDescent="0.35">
      <c r="A3" s="6" t="s">
        <v>13</v>
      </c>
      <c r="B3" s="6"/>
      <c r="C3" s="6"/>
      <c r="D3" s="6"/>
      <c r="E3" s="6"/>
    </row>
    <row r="5" spans="1:6" ht="19.5" customHeight="1" x14ac:dyDescent="0.35">
      <c r="B5" s="9" t="s">
        <v>14</v>
      </c>
      <c r="C5" s="10"/>
      <c r="D5" s="9" t="s">
        <v>15</v>
      </c>
      <c r="E5" s="10"/>
    </row>
    <row r="6" spans="1:6" ht="19.5" customHeight="1" x14ac:dyDescent="0.35">
      <c r="B6" s="9" t="s">
        <v>16</v>
      </c>
      <c r="C6" s="10"/>
      <c r="D6" s="9" t="s">
        <v>17</v>
      </c>
      <c r="E6" s="10"/>
    </row>
    <row r="7" spans="1:6" ht="19.5" customHeight="1" x14ac:dyDescent="0.35">
      <c r="B7" s="9" t="s">
        <v>18</v>
      </c>
      <c r="C7" s="10" t="s">
        <v>19</v>
      </c>
      <c r="D7" s="9" t="s">
        <v>20</v>
      </c>
      <c r="E7" s="10" t="s">
        <v>21</v>
      </c>
    </row>
    <row r="8" spans="1:6" ht="19.5" customHeight="1" x14ac:dyDescent="0.35">
      <c r="B8" s="9" t="s">
        <v>22</v>
      </c>
      <c r="C8" s="10"/>
      <c r="D8" s="9" t="s">
        <v>23</v>
      </c>
      <c r="E8" s="10" t="s">
        <v>24</v>
      </c>
    </row>
    <row r="9" spans="1:6" ht="19.5" customHeight="1" x14ac:dyDescent="0.35">
      <c r="B9" s="9" t="s">
        <v>25</v>
      </c>
      <c r="C9" s="10"/>
      <c r="D9" s="9" t="s">
        <v>26</v>
      </c>
      <c r="E9" s="10"/>
    </row>
    <row r="10" spans="1:6" ht="19.5" customHeight="1" x14ac:dyDescent="0.35">
      <c r="B10" s="9" t="s">
        <v>27</v>
      </c>
      <c r="C10" s="10"/>
      <c r="D10" s="9" t="s">
        <v>28</v>
      </c>
      <c r="E10" s="10"/>
    </row>
    <row r="11" spans="1:6" ht="19.5" customHeight="1" x14ac:dyDescent="0.35">
      <c r="B11" s="9" t="s">
        <v>29</v>
      </c>
      <c r="C11" s="10"/>
      <c r="D11" s="9" t="s">
        <v>30</v>
      </c>
      <c r="E11" s="10"/>
    </row>
    <row r="12" spans="1:6" ht="19.5" customHeight="1" x14ac:dyDescent="0.35">
      <c r="B12" s="9" t="s">
        <v>31</v>
      </c>
      <c r="C12" s="10"/>
      <c r="D12" s="9" t="s">
        <v>32</v>
      </c>
      <c r="E12" s="10">
        <v>10</v>
      </c>
    </row>
    <row r="13" spans="1:6" x14ac:dyDescent="0.35"/>
    <row r="14" spans="1:6" ht="21.75" customHeight="1" x14ac:dyDescent="0.35">
      <c r="B14" s="4" t="s">
        <v>33</v>
      </c>
      <c r="C14" s="4"/>
      <c r="D14" s="4"/>
      <c r="E14" s="4"/>
    </row>
    <row r="15" spans="1:6" ht="24" customHeight="1" x14ac:dyDescent="0.35">
      <c r="B15" s="11" t="s">
        <v>34</v>
      </c>
      <c r="C15" s="11" t="s">
        <v>35</v>
      </c>
      <c r="D15" s="11" t="s">
        <v>36</v>
      </c>
      <c r="E15" s="11" t="s">
        <v>37</v>
      </c>
      <c r="F15" s="11" t="s">
        <v>38</v>
      </c>
    </row>
    <row r="16" spans="1:6" ht="15" customHeight="1" x14ac:dyDescent="0.35">
      <c r="B16" s="12">
        <v>1</v>
      </c>
      <c r="C16" s="10"/>
      <c r="D16" s="10"/>
      <c r="E16" s="10"/>
      <c r="F16" s="10"/>
    </row>
    <row r="17" spans="2:6" ht="15" customHeight="1" x14ac:dyDescent="0.35">
      <c r="B17" s="12">
        <v>2</v>
      </c>
      <c r="C17" s="10"/>
      <c r="D17" s="10"/>
      <c r="E17" s="10"/>
      <c r="F17" s="10"/>
    </row>
    <row r="18" spans="2:6" ht="15" customHeight="1" x14ac:dyDescent="0.35">
      <c r="B18" s="12">
        <v>3</v>
      </c>
      <c r="C18" s="10"/>
      <c r="D18" s="10"/>
      <c r="E18" s="10"/>
      <c r="F18" s="10"/>
    </row>
    <row r="19" spans="2:6" ht="15" customHeight="1" x14ac:dyDescent="0.35">
      <c r="B19" s="12">
        <v>4</v>
      </c>
      <c r="C19" s="10"/>
      <c r="D19" s="10"/>
      <c r="E19" s="10"/>
      <c r="F19" s="10"/>
    </row>
    <row r="20" spans="2:6" ht="15" customHeight="1" x14ac:dyDescent="0.35">
      <c r="B20" s="12">
        <v>5</v>
      </c>
      <c r="C20" s="10"/>
      <c r="D20" s="10"/>
      <c r="E20" s="10"/>
      <c r="F20" s="10"/>
    </row>
    <row r="21" spans="2:6" ht="15" customHeight="1" x14ac:dyDescent="0.35">
      <c r="B21" s="12">
        <v>6</v>
      </c>
      <c r="C21" s="10"/>
      <c r="D21" s="10"/>
      <c r="E21" s="10"/>
      <c r="F21" s="10"/>
    </row>
    <row r="22" spans="2:6" ht="15" customHeight="1" x14ac:dyDescent="0.35">
      <c r="B22" s="12">
        <v>7</v>
      </c>
      <c r="C22" s="10"/>
      <c r="D22" s="10"/>
      <c r="E22" s="10"/>
      <c r="F22" s="10"/>
    </row>
    <row r="23" spans="2:6" ht="15" customHeight="1" x14ac:dyDescent="0.35">
      <c r="B23" s="12">
        <v>8</v>
      </c>
      <c r="C23" s="10"/>
      <c r="D23" s="10"/>
      <c r="E23" s="10"/>
      <c r="F23" s="10"/>
    </row>
    <row r="24" spans="2:6" ht="15" customHeight="1" x14ac:dyDescent="0.35">
      <c r="B24" s="12">
        <v>9</v>
      </c>
      <c r="C24" s="10"/>
      <c r="D24" s="10"/>
      <c r="E24" s="10"/>
      <c r="F24" s="10"/>
    </row>
    <row r="25" spans="2:6" ht="15" customHeight="1" x14ac:dyDescent="0.35">
      <c r="B25" s="12">
        <v>10</v>
      </c>
      <c r="C25" s="10"/>
      <c r="D25" s="10"/>
      <c r="E25" s="10"/>
      <c r="F25" s="10"/>
    </row>
    <row r="26" spans="2:6" ht="15" customHeight="1" x14ac:dyDescent="0.35">
      <c r="B26" s="12">
        <v>11</v>
      </c>
      <c r="C26" s="10"/>
      <c r="D26" s="10"/>
      <c r="E26" s="10"/>
      <c r="F26" s="10"/>
    </row>
    <row r="27" spans="2:6" ht="15" customHeight="1" x14ac:dyDescent="0.35">
      <c r="B27" s="12">
        <v>12</v>
      </c>
      <c r="C27" s="10"/>
      <c r="D27" s="10"/>
      <c r="E27" s="10"/>
      <c r="F27" s="10"/>
    </row>
    <row r="28" spans="2:6" ht="15" customHeight="1" x14ac:dyDescent="0.35">
      <c r="B28" s="12">
        <v>13</v>
      </c>
      <c r="C28" s="10"/>
      <c r="D28" s="10"/>
      <c r="E28" s="10"/>
      <c r="F28" s="10"/>
    </row>
    <row r="29" spans="2:6" ht="15" customHeight="1" x14ac:dyDescent="0.35">
      <c r="B29" s="12">
        <v>14</v>
      </c>
      <c r="C29" s="10"/>
      <c r="D29" s="10"/>
      <c r="E29" s="10"/>
      <c r="F29" s="10"/>
    </row>
    <row r="30" spans="2:6" ht="15" customHeight="1" x14ac:dyDescent="0.35">
      <c r="B30" s="12">
        <v>15</v>
      </c>
      <c r="C30" s="10"/>
      <c r="D30" s="10"/>
      <c r="E30" s="10"/>
      <c r="F30" s="10"/>
    </row>
  </sheetData>
  <mergeCells count="3">
    <mergeCell ref="A1:E2"/>
    <mergeCell ref="A3:E3"/>
    <mergeCell ref="B14:E14"/>
  </mergeCells>
  <dataValidations count="1">
    <dataValidation type="list" allowBlank="1" sqref="F16:F30" xr:uid="{00000000-0002-0000-0100-000000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7"/>
  <sheetViews>
    <sheetView zoomScaleNormal="100" workbookViewId="0">
      <pane xSplit="3" ySplit="5" topLeftCell="G6" activePane="bottomRight" state="frozen"/>
      <selection pane="topRight" activeCell="D1" sqref="D1"/>
      <selection pane="bottomLeft" activeCell="A6" sqref="A6"/>
      <selection pane="bottomRight" activeCell="O6" sqref="O6"/>
    </sheetView>
  </sheetViews>
  <sheetFormatPr defaultColWidth="8.6328125" defaultRowHeight="14.5" x14ac:dyDescent="0.35"/>
  <cols>
    <col min="1" max="1" width="4" customWidth="1"/>
    <col min="2" max="2" width="7" customWidth="1"/>
    <col min="3" max="3" width="22" customWidth="1"/>
    <col min="4" max="4" width="8" customWidth="1"/>
    <col min="5" max="5" width="12" customWidth="1"/>
    <col min="6" max="7" width="10" customWidth="1"/>
    <col min="8" max="8" width="13" customWidth="1"/>
    <col min="9" max="9" width="15" customWidth="1"/>
    <col min="10" max="10" width="17" customWidth="1"/>
    <col min="11" max="11" width="14" customWidth="1"/>
    <col min="12" max="12" width="13" customWidth="1"/>
    <col min="13" max="13" width="12" customWidth="1"/>
    <col min="14" max="14" width="10" customWidth="1"/>
    <col min="15" max="15" width="30" customWidth="1"/>
  </cols>
  <sheetData>
    <row r="1" spans="1:15" ht="21.75" customHeight="1" x14ac:dyDescent="0.35">
      <c r="A1" s="7" t="s">
        <v>39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21.75" customHeight="1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15.75" customHeight="1" x14ac:dyDescent="0.35">
      <c r="A3" s="6" t="s">
        <v>40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5" spans="1:15" ht="33.75" customHeight="1" x14ac:dyDescent="0.35">
      <c r="A5" s="11" t="s">
        <v>34</v>
      </c>
      <c r="B5" s="11" t="s">
        <v>35</v>
      </c>
      <c r="C5" s="11" t="s">
        <v>41</v>
      </c>
      <c r="D5" s="11" t="s">
        <v>42</v>
      </c>
      <c r="E5" s="11" t="s">
        <v>43</v>
      </c>
      <c r="F5" s="11" t="s">
        <v>44</v>
      </c>
      <c r="G5" s="11" t="s">
        <v>45</v>
      </c>
      <c r="H5" s="11" t="s">
        <v>46</v>
      </c>
      <c r="I5" s="11" t="s">
        <v>47</v>
      </c>
      <c r="J5" s="11" t="s">
        <v>48</v>
      </c>
      <c r="K5" s="11" t="s">
        <v>37</v>
      </c>
      <c r="L5" s="11" t="s">
        <v>49</v>
      </c>
      <c r="M5" s="11" t="s">
        <v>50</v>
      </c>
      <c r="N5" s="11" t="s">
        <v>51</v>
      </c>
      <c r="O5" s="11" t="s">
        <v>52</v>
      </c>
    </row>
    <row r="6" spans="1:15" ht="15" customHeight="1" x14ac:dyDescent="0.35">
      <c r="A6" s="12">
        <v>1</v>
      </c>
      <c r="B6" s="13"/>
      <c r="C6" s="14"/>
      <c r="D6" s="15"/>
      <c r="E6" s="16"/>
      <c r="F6" s="16"/>
      <c r="G6" s="17" t="str">
        <f t="shared" ref="G6:G37" si="0">IF(OR(E6="",F6=""),"",ROUND((F6-E6)*1440,1))</f>
        <v/>
      </c>
      <c r="H6" s="14"/>
      <c r="I6" s="17" t="str">
        <f t="shared" ref="I6:I37" si="1">IF(OR(H6="",G6="",G6=0),"",ROUND(H6/G6,0))</f>
        <v/>
      </c>
      <c r="J6" s="14"/>
      <c r="K6" s="14"/>
      <c r="L6" s="18" t="str">
        <f t="shared" ref="L6:L37" si="2">IF(OR(G6="",K6="",K6=0),"",ROUND((G6-K6)/K6,4))</f>
        <v/>
      </c>
      <c r="M6" s="19" t="str">
        <f>IF(OR(G6="",K6=""),"",IF(G6&lt;=K6*(1+'Test Config'!$E$12/100),"PASS","FAIL"))</f>
        <v/>
      </c>
      <c r="N6" s="14"/>
      <c r="O6" s="13"/>
    </row>
    <row r="7" spans="1:15" ht="15" customHeight="1" x14ac:dyDescent="0.35">
      <c r="A7" s="12">
        <v>2</v>
      </c>
      <c r="B7" s="13"/>
      <c r="C7" s="14"/>
      <c r="D7" s="15"/>
      <c r="E7" s="16"/>
      <c r="F7" s="16"/>
      <c r="G7" s="17" t="str">
        <f t="shared" si="0"/>
        <v/>
      </c>
      <c r="H7" s="14"/>
      <c r="I7" s="17" t="str">
        <f t="shared" si="1"/>
        <v/>
      </c>
      <c r="J7" s="14"/>
      <c r="K7" s="14"/>
      <c r="L7" s="18" t="str">
        <f t="shared" si="2"/>
        <v/>
      </c>
      <c r="M7" s="19" t="str">
        <f>IF(OR(G7="",K7=""),"",IF(G7&lt;=K7*(1+'Test Config'!$E$12/100),"PASS","FAIL"))</f>
        <v/>
      </c>
      <c r="N7" s="14"/>
      <c r="O7" s="13"/>
    </row>
    <row r="8" spans="1:15" ht="15" customHeight="1" x14ac:dyDescent="0.35">
      <c r="A8" s="12">
        <v>3</v>
      </c>
      <c r="B8" s="13"/>
      <c r="C8" s="14"/>
      <c r="D8" s="15"/>
      <c r="E8" s="16"/>
      <c r="F8" s="16"/>
      <c r="G8" s="17" t="str">
        <f t="shared" si="0"/>
        <v/>
      </c>
      <c r="H8" s="14"/>
      <c r="I8" s="17" t="str">
        <f t="shared" si="1"/>
        <v/>
      </c>
      <c r="J8" s="14"/>
      <c r="K8" s="14"/>
      <c r="L8" s="18" t="str">
        <f t="shared" si="2"/>
        <v/>
      </c>
      <c r="M8" s="19" t="str">
        <f>IF(OR(G8="",K8=""),"",IF(G8&lt;=K8*(1+'Test Config'!$E$12/100),"PASS","FAIL"))</f>
        <v/>
      </c>
      <c r="N8" s="14"/>
      <c r="O8" s="13"/>
    </row>
    <row r="9" spans="1:15" ht="15" customHeight="1" x14ac:dyDescent="0.35">
      <c r="A9" s="12">
        <v>4</v>
      </c>
      <c r="B9" s="13"/>
      <c r="C9" s="14"/>
      <c r="D9" s="15"/>
      <c r="E9" s="16"/>
      <c r="F9" s="16"/>
      <c r="G9" s="17" t="str">
        <f t="shared" si="0"/>
        <v/>
      </c>
      <c r="H9" s="14"/>
      <c r="I9" s="17" t="str">
        <f t="shared" si="1"/>
        <v/>
      </c>
      <c r="J9" s="14"/>
      <c r="K9" s="14"/>
      <c r="L9" s="18" t="str">
        <f t="shared" si="2"/>
        <v/>
      </c>
      <c r="M9" s="19" t="str">
        <f>IF(OR(G9="",K9=""),"",IF(G9&lt;=K9*(1+'Test Config'!$E$12/100),"PASS","FAIL"))</f>
        <v/>
      </c>
      <c r="N9" s="14"/>
      <c r="O9" s="13"/>
    </row>
    <row r="10" spans="1:15" ht="15" customHeight="1" x14ac:dyDescent="0.35">
      <c r="A10" s="12">
        <v>5</v>
      </c>
      <c r="B10" s="13"/>
      <c r="C10" s="14"/>
      <c r="D10" s="15"/>
      <c r="E10" s="16"/>
      <c r="F10" s="16"/>
      <c r="G10" s="17" t="str">
        <f t="shared" si="0"/>
        <v/>
      </c>
      <c r="H10" s="14"/>
      <c r="I10" s="17" t="str">
        <f t="shared" si="1"/>
        <v/>
      </c>
      <c r="J10" s="14"/>
      <c r="K10" s="14"/>
      <c r="L10" s="18" t="str">
        <f t="shared" si="2"/>
        <v/>
      </c>
      <c r="M10" s="19" t="str">
        <f>IF(OR(G10="",K10=""),"",IF(G10&lt;=K10*(1+'Test Config'!$E$12/100),"PASS","FAIL"))</f>
        <v/>
      </c>
      <c r="N10" s="14"/>
      <c r="O10" s="13"/>
    </row>
    <row r="11" spans="1:15" ht="15" customHeight="1" x14ac:dyDescent="0.35">
      <c r="A11" s="12">
        <v>6</v>
      </c>
      <c r="B11" s="13"/>
      <c r="C11" s="14"/>
      <c r="D11" s="15"/>
      <c r="E11" s="16"/>
      <c r="F11" s="16"/>
      <c r="G11" s="17" t="str">
        <f t="shared" si="0"/>
        <v/>
      </c>
      <c r="H11" s="14"/>
      <c r="I11" s="17" t="str">
        <f t="shared" si="1"/>
        <v/>
      </c>
      <c r="J11" s="14"/>
      <c r="K11" s="14"/>
      <c r="L11" s="18" t="str">
        <f t="shared" si="2"/>
        <v/>
      </c>
      <c r="M11" s="19" t="str">
        <f>IF(OR(G11="",K11=""),"",IF(G11&lt;=K11*(1+'Test Config'!$E$12/100),"PASS","FAIL"))</f>
        <v/>
      </c>
      <c r="N11" s="14"/>
      <c r="O11" s="13"/>
    </row>
    <row r="12" spans="1:15" ht="15" customHeight="1" x14ac:dyDescent="0.35">
      <c r="A12" s="12">
        <v>7</v>
      </c>
      <c r="B12" s="13"/>
      <c r="C12" s="14"/>
      <c r="D12" s="15"/>
      <c r="E12" s="16"/>
      <c r="F12" s="16"/>
      <c r="G12" s="17" t="str">
        <f t="shared" si="0"/>
        <v/>
      </c>
      <c r="H12" s="14"/>
      <c r="I12" s="17" t="str">
        <f t="shared" si="1"/>
        <v/>
      </c>
      <c r="J12" s="14"/>
      <c r="K12" s="14"/>
      <c r="L12" s="18" t="str">
        <f t="shared" si="2"/>
        <v/>
      </c>
      <c r="M12" s="19" t="str">
        <f>IF(OR(G12="",K12=""),"",IF(G12&lt;=K12*(1+'Test Config'!$E$12/100),"PASS","FAIL"))</f>
        <v/>
      </c>
      <c r="N12" s="14"/>
      <c r="O12" s="13"/>
    </row>
    <row r="13" spans="1:15" ht="15" customHeight="1" x14ac:dyDescent="0.35">
      <c r="A13" s="12">
        <v>8</v>
      </c>
      <c r="B13" s="13"/>
      <c r="C13" s="14"/>
      <c r="D13" s="15"/>
      <c r="E13" s="16"/>
      <c r="F13" s="16"/>
      <c r="G13" s="17" t="str">
        <f t="shared" si="0"/>
        <v/>
      </c>
      <c r="H13" s="14"/>
      <c r="I13" s="17" t="str">
        <f t="shared" si="1"/>
        <v/>
      </c>
      <c r="J13" s="14"/>
      <c r="K13" s="14"/>
      <c r="L13" s="18" t="str">
        <f t="shared" si="2"/>
        <v/>
      </c>
      <c r="M13" s="19" t="str">
        <f>IF(OR(G13="",K13=""),"",IF(G13&lt;=K13*(1+'Test Config'!$E$12/100),"PASS","FAIL"))</f>
        <v/>
      </c>
      <c r="N13" s="14"/>
      <c r="O13" s="13"/>
    </row>
    <row r="14" spans="1:15" ht="15" customHeight="1" x14ac:dyDescent="0.35">
      <c r="A14" s="12">
        <v>9</v>
      </c>
      <c r="B14" s="13"/>
      <c r="C14" s="14"/>
      <c r="D14" s="15"/>
      <c r="E14" s="16"/>
      <c r="F14" s="16"/>
      <c r="G14" s="17" t="str">
        <f t="shared" si="0"/>
        <v/>
      </c>
      <c r="H14" s="14"/>
      <c r="I14" s="17" t="str">
        <f t="shared" si="1"/>
        <v/>
      </c>
      <c r="J14" s="14"/>
      <c r="K14" s="14"/>
      <c r="L14" s="18" t="str">
        <f t="shared" si="2"/>
        <v/>
      </c>
      <c r="M14" s="19" t="str">
        <f>IF(OR(G14="",K14=""),"",IF(G14&lt;=K14*(1+'Test Config'!$E$12/100),"PASS","FAIL"))</f>
        <v/>
      </c>
      <c r="N14" s="14"/>
      <c r="O14" s="13"/>
    </row>
    <row r="15" spans="1:15" ht="15" customHeight="1" x14ac:dyDescent="0.35">
      <c r="A15" s="12">
        <v>10</v>
      </c>
      <c r="B15" s="13"/>
      <c r="C15" s="14"/>
      <c r="D15" s="15"/>
      <c r="E15" s="16"/>
      <c r="F15" s="16"/>
      <c r="G15" s="17" t="str">
        <f t="shared" si="0"/>
        <v/>
      </c>
      <c r="H15" s="14"/>
      <c r="I15" s="17" t="str">
        <f t="shared" si="1"/>
        <v/>
      </c>
      <c r="J15" s="14"/>
      <c r="K15" s="14"/>
      <c r="L15" s="18" t="str">
        <f t="shared" si="2"/>
        <v/>
      </c>
      <c r="M15" s="19" t="str">
        <f>IF(OR(G15="",K15=""),"",IF(G15&lt;=K15*(1+'Test Config'!$E$12/100),"PASS","FAIL"))</f>
        <v/>
      </c>
      <c r="N15" s="14"/>
      <c r="O15" s="13"/>
    </row>
    <row r="16" spans="1:15" ht="15" customHeight="1" x14ac:dyDescent="0.35">
      <c r="A16" s="12">
        <v>11</v>
      </c>
      <c r="B16" s="13"/>
      <c r="C16" s="14"/>
      <c r="D16" s="15"/>
      <c r="E16" s="16"/>
      <c r="F16" s="16"/>
      <c r="G16" s="17" t="str">
        <f t="shared" si="0"/>
        <v/>
      </c>
      <c r="H16" s="14"/>
      <c r="I16" s="17" t="str">
        <f t="shared" si="1"/>
        <v/>
      </c>
      <c r="J16" s="14"/>
      <c r="K16" s="14"/>
      <c r="L16" s="18" t="str">
        <f t="shared" si="2"/>
        <v/>
      </c>
      <c r="M16" s="19" t="str">
        <f>IF(OR(G16="",K16=""),"",IF(G16&lt;=K16*(1+'Test Config'!$E$12/100),"PASS","FAIL"))</f>
        <v/>
      </c>
      <c r="N16" s="14"/>
      <c r="O16" s="13"/>
    </row>
    <row r="17" spans="1:15" ht="15" customHeight="1" x14ac:dyDescent="0.35">
      <c r="A17" s="12">
        <v>12</v>
      </c>
      <c r="B17" s="13"/>
      <c r="C17" s="14"/>
      <c r="D17" s="15"/>
      <c r="E17" s="16"/>
      <c r="F17" s="16"/>
      <c r="G17" s="17" t="str">
        <f t="shared" si="0"/>
        <v/>
      </c>
      <c r="H17" s="14"/>
      <c r="I17" s="17" t="str">
        <f t="shared" si="1"/>
        <v/>
      </c>
      <c r="J17" s="14"/>
      <c r="K17" s="14"/>
      <c r="L17" s="18" t="str">
        <f t="shared" si="2"/>
        <v/>
      </c>
      <c r="M17" s="19" t="str">
        <f>IF(OR(G17="",K17=""),"",IF(G17&lt;=K17*(1+'Test Config'!$E$12/100),"PASS","FAIL"))</f>
        <v/>
      </c>
      <c r="N17" s="14"/>
      <c r="O17" s="13"/>
    </row>
    <row r="18" spans="1:15" ht="15" customHeight="1" x14ac:dyDescent="0.35">
      <c r="A18" s="12">
        <v>13</v>
      </c>
      <c r="B18" s="13"/>
      <c r="C18" s="14"/>
      <c r="D18" s="15"/>
      <c r="E18" s="16"/>
      <c r="F18" s="16"/>
      <c r="G18" s="17" t="str">
        <f t="shared" si="0"/>
        <v/>
      </c>
      <c r="H18" s="14"/>
      <c r="I18" s="17" t="str">
        <f t="shared" si="1"/>
        <v/>
      </c>
      <c r="J18" s="14"/>
      <c r="K18" s="14"/>
      <c r="L18" s="18" t="str">
        <f t="shared" si="2"/>
        <v/>
      </c>
      <c r="M18" s="19" t="str">
        <f>IF(OR(G18="",K18=""),"",IF(G18&lt;=K18*(1+'Test Config'!$E$12/100),"PASS","FAIL"))</f>
        <v/>
      </c>
      <c r="N18" s="14"/>
      <c r="O18" s="13"/>
    </row>
    <row r="19" spans="1:15" ht="15" customHeight="1" x14ac:dyDescent="0.35">
      <c r="A19" s="12">
        <v>14</v>
      </c>
      <c r="B19" s="13"/>
      <c r="C19" s="14"/>
      <c r="D19" s="15"/>
      <c r="E19" s="16"/>
      <c r="F19" s="16"/>
      <c r="G19" s="17" t="str">
        <f t="shared" si="0"/>
        <v/>
      </c>
      <c r="H19" s="14"/>
      <c r="I19" s="17" t="str">
        <f t="shared" si="1"/>
        <v/>
      </c>
      <c r="J19" s="14"/>
      <c r="K19" s="14"/>
      <c r="L19" s="18" t="str">
        <f t="shared" si="2"/>
        <v/>
      </c>
      <c r="M19" s="19" t="str">
        <f>IF(OR(G19="",K19=""),"",IF(G19&lt;=K19*(1+'Test Config'!$E$12/100),"PASS","FAIL"))</f>
        <v/>
      </c>
      <c r="N19" s="14"/>
      <c r="O19" s="13"/>
    </row>
    <row r="20" spans="1:15" ht="15" customHeight="1" x14ac:dyDescent="0.35">
      <c r="A20" s="12">
        <v>15</v>
      </c>
      <c r="B20" s="13"/>
      <c r="C20" s="14"/>
      <c r="D20" s="15"/>
      <c r="E20" s="16"/>
      <c r="F20" s="16"/>
      <c r="G20" s="17" t="str">
        <f t="shared" si="0"/>
        <v/>
      </c>
      <c r="H20" s="14"/>
      <c r="I20" s="17" t="str">
        <f t="shared" si="1"/>
        <v/>
      </c>
      <c r="J20" s="14"/>
      <c r="K20" s="14"/>
      <c r="L20" s="18" t="str">
        <f t="shared" si="2"/>
        <v/>
      </c>
      <c r="M20" s="19" t="str">
        <f>IF(OR(G20="",K20=""),"",IF(G20&lt;=K20*(1+'Test Config'!$E$12/100),"PASS","FAIL"))</f>
        <v/>
      </c>
      <c r="N20" s="14"/>
      <c r="O20" s="13"/>
    </row>
    <row r="21" spans="1:15" ht="15" customHeight="1" x14ac:dyDescent="0.35">
      <c r="A21" s="12">
        <v>16</v>
      </c>
      <c r="B21" s="13"/>
      <c r="C21" s="14"/>
      <c r="D21" s="15"/>
      <c r="E21" s="16"/>
      <c r="F21" s="16"/>
      <c r="G21" s="17" t="str">
        <f t="shared" si="0"/>
        <v/>
      </c>
      <c r="H21" s="14"/>
      <c r="I21" s="17" t="str">
        <f t="shared" si="1"/>
        <v/>
      </c>
      <c r="J21" s="14"/>
      <c r="K21" s="14"/>
      <c r="L21" s="18" t="str">
        <f t="shared" si="2"/>
        <v/>
      </c>
      <c r="M21" s="19" t="str">
        <f>IF(OR(G21="",K21=""),"",IF(G21&lt;=K21*(1+'Test Config'!$E$12/100),"PASS","FAIL"))</f>
        <v/>
      </c>
      <c r="N21" s="14"/>
      <c r="O21" s="13"/>
    </row>
    <row r="22" spans="1:15" ht="15" customHeight="1" x14ac:dyDescent="0.35">
      <c r="A22" s="12">
        <v>17</v>
      </c>
      <c r="B22" s="13"/>
      <c r="C22" s="14"/>
      <c r="D22" s="15"/>
      <c r="E22" s="16"/>
      <c r="F22" s="16"/>
      <c r="G22" s="17" t="str">
        <f t="shared" si="0"/>
        <v/>
      </c>
      <c r="H22" s="14"/>
      <c r="I22" s="17" t="str">
        <f t="shared" si="1"/>
        <v/>
      </c>
      <c r="J22" s="14"/>
      <c r="K22" s="14"/>
      <c r="L22" s="18" t="str">
        <f t="shared" si="2"/>
        <v/>
      </c>
      <c r="M22" s="19" t="str">
        <f>IF(OR(G22="",K22=""),"",IF(G22&lt;=K22*(1+'Test Config'!$E$12/100),"PASS","FAIL"))</f>
        <v/>
      </c>
      <c r="N22" s="14"/>
      <c r="O22" s="13"/>
    </row>
    <row r="23" spans="1:15" ht="15" customHeight="1" x14ac:dyDescent="0.35">
      <c r="A23" s="12">
        <v>18</v>
      </c>
      <c r="B23" s="13"/>
      <c r="C23" s="14"/>
      <c r="D23" s="15"/>
      <c r="E23" s="16"/>
      <c r="F23" s="16"/>
      <c r="G23" s="17" t="str">
        <f t="shared" si="0"/>
        <v/>
      </c>
      <c r="H23" s="14"/>
      <c r="I23" s="17" t="str">
        <f t="shared" si="1"/>
        <v/>
      </c>
      <c r="J23" s="14"/>
      <c r="K23" s="14"/>
      <c r="L23" s="18" t="str">
        <f t="shared" si="2"/>
        <v/>
      </c>
      <c r="M23" s="19" t="str">
        <f>IF(OR(G23="",K23=""),"",IF(G23&lt;=K23*(1+'Test Config'!$E$12/100),"PASS","FAIL"))</f>
        <v/>
      </c>
      <c r="N23" s="14"/>
      <c r="O23" s="13"/>
    </row>
    <row r="24" spans="1:15" ht="15" customHeight="1" x14ac:dyDescent="0.35">
      <c r="A24" s="12">
        <v>19</v>
      </c>
      <c r="B24" s="13"/>
      <c r="C24" s="14"/>
      <c r="D24" s="15"/>
      <c r="E24" s="16"/>
      <c r="F24" s="16"/>
      <c r="G24" s="17" t="str">
        <f t="shared" si="0"/>
        <v/>
      </c>
      <c r="H24" s="14"/>
      <c r="I24" s="17" t="str">
        <f t="shared" si="1"/>
        <v/>
      </c>
      <c r="J24" s="14"/>
      <c r="K24" s="14"/>
      <c r="L24" s="18" t="str">
        <f t="shared" si="2"/>
        <v/>
      </c>
      <c r="M24" s="19" t="str">
        <f>IF(OR(G24="",K24=""),"",IF(G24&lt;=K24*(1+'Test Config'!$E$12/100),"PASS","FAIL"))</f>
        <v/>
      </c>
      <c r="N24" s="14"/>
      <c r="O24" s="13"/>
    </row>
    <row r="25" spans="1:15" ht="15" customHeight="1" x14ac:dyDescent="0.35">
      <c r="A25" s="12">
        <v>20</v>
      </c>
      <c r="B25" s="13"/>
      <c r="C25" s="14"/>
      <c r="D25" s="15"/>
      <c r="E25" s="16"/>
      <c r="F25" s="16"/>
      <c r="G25" s="17" t="str">
        <f t="shared" si="0"/>
        <v/>
      </c>
      <c r="H25" s="14"/>
      <c r="I25" s="17" t="str">
        <f t="shared" si="1"/>
        <v/>
      </c>
      <c r="J25" s="14"/>
      <c r="K25" s="14"/>
      <c r="L25" s="18" t="str">
        <f t="shared" si="2"/>
        <v/>
      </c>
      <c r="M25" s="19" t="str">
        <f>IF(OR(G25="",K25=""),"",IF(G25&lt;=K25*(1+'Test Config'!$E$12/100),"PASS","FAIL"))</f>
        <v/>
      </c>
      <c r="N25" s="14"/>
      <c r="O25" s="13"/>
    </row>
    <row r="26" spans="1:15" ht="15" customHeight="1" x14ac:dyDescent="0.35">
      <c r="A26" s="12">
        <v>21</v>
      </c>
      <c r="B26" s="13"/>
      <c r="C26" s="14"/>
      <c r="D26" s="15"/>
      <c r="E26" s="16"/>
      <c r="F26" s="16"/>
      <c r="G26" s="17" t="str">
        <f t="shared" si="0"/>
        <v/>
      </c>
      <c r="H26" s="14"/>
      <c r="I26" s="17" t="str">
        <f t="shared" si="1"/>
        <v/>
      </c>
      <c r="J26" s="14"/>
      <c r="K26" s="14"/>
      <c r="L26" s="18" t="str">
        <f t="shared" si="2"/>
        <v/>
      </c>
      <c r="M26" s="19" t="str">
        <f>IF(OR(G26="",K26=""),"",IF(G26&lt;=K26*(1+'Test Config'!$E$12/100),"PASS","FAIL"))</f>
        <v/>
      </c>
      <c r="N26" s="14"/>
      <c r="O26" s="13"/>
    </row>
    <row r="27" spans="1:15" ht="15" customHeight="1" x14ac:dyDescent="0.35">
      <c r="A27" s="12">
        <v>22</v>
      </c>
      <c r="B27" s="13"/>
      <c r="C27" s="14"/>
      <c r="D27" s="15"/>
      <c r="E27" s="16"/>
      <c r="F27" s="16"/>
      <c r="G27" s="17" t="str">
        <f t="shared" si="0"/>
        <v/>
      </c>
      <c r="H27" s="14"/>
      <c r="I27" s="17" t="str">
        <f t="shared" si="1"/>
        <v/>
      </c>
      <c r="J27" s="14"/>
      <c r="K27" s="14"/>
      <c r="L27" s="18" t="str">
        <f t="shared" si="2"/>
        <v/>
      </c>
      <c r="M27" s="19" t="str">
        <f>IF(OR(G27="",K27=""),"",IF(G27&lt;=K27*(1+'Test Config'!$E$12/100),"PASS","FAIL"))</f>
        <v/>
      </c>
      <c r="N27" s="14"/>
      <c r="O27" s="13"/>
    </row>
    <row r="28" spans="1:15" ht="15" customHeight="1" x14ac:dyDescent="0.35">
      <c r="A28" s="12">
        <v>23</v>
      </c>
      <c r="B28" s="13"/>
      <c r="C28" s="14"/>
      <c r="D28" s="15"/>
      <c r="E28" s="16"/>
      <c r="F28" s="16"/>
      <c r="G28" s="17" t="str">
        <f t="shared" si="0"/>
        <v/>
      </c>
      <c r="H28" s="14"/>
      <c r="I28" s="17" t="str">
        <f t="shared" si="1"/>
        <v/>
      </c>
      <c r="J28" s="14"/>
      <c r="K28" s="14"/>
      <c r="L28" s="18" t="str">
        <f t="shared" si="2"/>
        <v/>
      </c>
      <c r="M28" s="19" t="str">
        <f>IF(OR(G28="",K28=""),"",IF(G28&lt;=K28*(1+'Test Config'!$E$12/100),"PASS","FAIL"))</f>
        <v/>
      </c>
      <c r="N28" s="14"/>
      <c r="O28" s="13"/>
    </row>
    <row r="29" spans="1:15" ht="15" customHeight="1" x14ac:dyDescent="0.35">
      <c r="A29" s="12">
        <v>24</v>
      </c>
      <c r="B29" s="13"/>
      <c r="C29" s="14"/>
      <c r="D29" s="15"/>
      <c r="E29" s="16"/>
      <c r="F29" s="16"/>
      <c r="G29" s="17" t="str">
        <f t="shared" si="0"/>
        <v/>
      </c>
      <c r="H29" s="14"/>
      <c r="I29" s="17" t="str">
        <f t="shared" si="1"/>
        <v/>
      </c>
      <c r="J29" s="14"/>
      <c r="K29" s="14"/>
      <c r="L29" s="18" t="str">
        <f t="shared" si="2"/>
        <v/>
      </c>
      <c r="M29" s="19" t="str">
        <f>IF(OR(G29="",K29=""),"",IF(G29&lt;=K29*(1+'Test Config'!$E$12/100),"PASS","FAIL"))</f>
        <v/>
      </c>
      <c r="N29" s="14"/>
      <c r="O29" s="13"/>
    </row>
    <row r="30" spans="1:15" ht="15" customHeight="1" x14ac:dyDescent="0.35">
      <c r="A30" s="12">
        <v>25</v>
      </c>
      <c r="B30" s="13"/>
      <c r="C30" s="14"/>
      <c r="D30" s="15"/>
      <c r="E30" s="16"/>
      <c r="F30" s="16"/>
      <c r="G30" s="17" t="str">
        <f t="shared" si="0"/>
        <v/>
      </c>
      <c r="H30" s="14"/>
      <c r="I30" s="17" t="str">
        <f t="shared" si="1"/>
        <v/>
      </c>
      <c r="J30" s="14"/>
      <c r="K30" s="14"/>
      <c r="L30" s="18" t="str">
        <f t="shared" si="2"/>
        <v/>
      </c>
      <c r="M30" s="19" t="str">
        <f>IF(OR(G30="",K30=""),"",IF(G30&lt;=K30*(1+'Test Config'!$E$12/100),"PASS","FAIL"))</f>
        <v/>
      </c>
      <c r="N30" s="14"/>
      <c r="O30" s="13"/>
    </row>
    <row r="31" spans="1:15" ht="15" customHeight="1" x14ac:dyDescent="0.35">
      <c r="A31" s="12">
        <v>26</v>
      </c>
      <c r="B31" s="13"/>
      <c r="C31" s="14"/>
      <c r="D31" s="15"/>
      <c r="E31" s="16"/>
      <c r="F31" s="16"/>
      <c r="G31" s="17" t="str">
        <f t="shared" si="0"/>
        <v/>
      </c>
      <c r="H31" s="14"/>
      <c r="I31" s="17" t="str">
        <f t="shared" si="1"/>
        <v/>
      </c>
      <c r="J31" s="14"/>
      <c r="K31" s="14"/>
      <c r="L31" s="18" t="str">
        <f t="shared" si="2"/>
        <v/>
      </c>
      <c r="M31" s="19" t="str">
        <f>IF(OR(G31="",K31=""),"",IF(G31&lt;=K31*(1+'Test Config'!$E$12/100),"PASS","FAIL"))</f>
        <v/>
      </c>
      <c r="N31" s="14"/>
      <c r="O31" s="13"/>
    </row>
    <row r="32" spans="1:15" ht="15" customHeight="1" x14ac:dyDescent="0.35">
      <c r="A32" s="12">
        <v>27</v>
      </c>
      <c r="B32" s="13"/>
      <c r="C32" s="14"/>
      <c r="D32" s="15"/>
      <c r="E32" s="16"/>
      <c r="F32" s="16"/>
      <c r="G32" s="17" t="str">
        <f t="shared" si="0"/>
        <v/>
      </c>
      <c r="H32" s="14"/>
      <c r="I32" s="17" t="str">
        <f t="shared" si="1"/>
        <v/>
      </c>
      <c r="J32" s="14"/>
      <c r="K32" s="14"/>
      <c r="L32" s="18" t="str">
        <f t="shared" si="2"/>
        <v/>
      </c>
      <c r="M32" s="19" t="str">
        <f>IF(OR(G32="",K32=""),"",IF(G32&lt;=K32*(1+'Test Config'!$E$12/100),"PASS","FAIL"))</f>
        <v/>
      </c>
      <c r="N32" s="14"/>
      <c r="O32" s="13"/>
    </row>
    <row r="33" spans="1:15" ht="15" customHeight="1" x14ac:dyDescent="0.35">
      <c r="A33" s="12">
        <v>28</v>
      </c>
      <c r="B33" s="13"/>
      <c r="C33" s="14"/>
      <c r="D33" s="15"/>
      <c r="E33" s="16"/>
      <c r="F33" s="16"/>
      <c r="G33" s="17" t="str">
        <f t="shared" si="0"/>
        <v/>
      </c>
      <c r="H33" s="14"/>
      <c r="I33" s="17" t="str">
        <f t="shared" si="1"/>
        <v/>
      </c>
      <c r="J33" s="14"/>
      <c r="K33" s="14"/>
      <c r="L33" s="18" t="str">
        <f t="shared" si="2"/>
        <v/>
      </c>
      <c r="M33" s="19" t="str">
        <f>IF(OR(G33="",K33=""),"",IF(G33&lt;=K33*(1+'Test Config'!$E$12/100),"PASS","FAIL"))</f>
        <v/>
      </c>
      <c r="N33" s="14"/>
      <c r="O33" s="13"/>
    </row>
    <row r="34" spans="1:15" ht="15" customHeight="1" x14ac:dyDescent="0.35">
      <c r="A34" s="12">
        <v>29</v>
      </c>
      <c r="B34" s="13"/>
      <c r="C34" s="14"/>
      <c r="D34" s="15"/>
      <c r="E34" s="16"/>
      <c r="F34" s="16"/>
      <c r="G34" s="17" t="str">
        <f t="shared" si="0"/>
        <v/>
      </c>
      <c r="H34" s="14"/>
      <c r="I34" s="17" t="str">
        <f t="shared" si="1"/>
        <v/>
      </c>
      <c r="J34" s="14"/>
      <c r="K34" s="14"/>
      <c r="L34" s="18" t="str">
        <f t="shared" si="2"/>
        <v/>
      </c>
      <c r="M34" s="19" t="str">
        <f>IF(OR(G34="",K34=""),"",IF(G34&lt;=K34*(1+'Test Config'!$E$12/100),"PASS","FAIL"))</f>
        <v/>
      </c>
      <c r="N34" s="14"/>
      <c r="O34" s="13"/>
    </row>
    <row r="35" spans="1:15" ht="15" customHeight="1" x14ac:dyDescent="0.35">
      <c r="A35" s="12">
        <v>30</v>
      </c>
      <c r="B35" s="13"/>
      <c r="C35" s="14"/>
      <c r="D35" s="15"/>
      <c r="E35" s="16"/>
      <c r="F35" s="16"/>
      <c r="G35" s="17" t="str">
        <f t="shared" si="0"/>
        <v/>
      </c>
      <c r="H35" s="14"/>
      <c r="I35" s="17" t="str">
        <f t="shared" si="1"/>
        <v/>
      </c>
      <c r="J35" s="14"/>
      <c r="K35" s="14"/>
      <c r="L35" s="18" t="str">
        <f t="shared" si="2"/>
        <v/>
      </c>
      <c r="M35" s="19" t="str">
        <f>IF(OR(G35="",K35=""),"",IF(G35&lt;=K35*(1+'Test Config'!$E$12/100),"PASS","FAIL"))</f>
        <v/>
      </c>
      <c r="N35" s="14"/>
      <c r="O35" s="13"/>
    </row>
    <row r="36" spans="1:15" ht="15" customHeight="1" x14ac:dyDescent="0.35">
      <c r="A36" s="12">
        <v>31</v>
      </c>
      <c r="B36" s="13"/>
      <c r="C36" s="14"/>
      <c r="D36" s="15"/>
      <c r="E36" s="16"/>
      <c r="F36" s="16"/>
      <c r="G36" s="17" t="str">
        <f t="shared" si="0"/>
        <v/>
      </c>
      <c r="H36" s="14"/>
      <c r="I36" s="17" t="str">
        <f t="shared" si="1"/>
        <v/>
      </c>
      <c r="J36" s="14"/>
      <c r="K36" s="14"/>
      <c r="L36" s="18" t="str">
        <f t="shared" si="2"/>
        <v/>
      </c>
      <c r="M36" s="19" t="str">
        <f>IF(OR(G36="",K36=""),"",IF(G36&lt;=K36*(1+'Test Config'!$E$12/100),"PASS","FAIL"))</f>
        <v/>
      </c>
      <c r="N36" s="14"/>
      <c r="O36" s="13"/>
    </row>
    <row r="37" spans="1:15" ht="15" customHeight="1" x14ac:dyDescent="0.35">
      <c r="A37" s="12">
        <v>32</v>
      </c>
      <c r="B37" s="13"/>
      <c r="C37" s="14"/>
      <c r="D37" s="15"/>
      <c r="E37" s="16"/>
      <c r="F37" s="16"/>
      <c r="G37" s="17" t="str">
        <f t="shared" si="0"/>
        <v/>
      </c>
      <c r="H37" s="14"/>
      <c r="I37" s="17" t="str">
        <f t="shared" si="1"/>
        <v/>
      </c>
      <c r="J37" s="14"/>
      <c r="K37" s="14"/>
      <c r="L37" s="18" t="str">
        <f t="shared" si="2"/>
        <v/>
      </c>
      <c r="M37" s="19" t="str">
        <f>IF(OR(G37="",K37=""),"",IF(G37&lt;=K37*(1+'Test Config'!$E$12/100),"PASS","FAIL"))</f>
        <v/>
      </c>
      <c r="N37" s="14"/>
      <c r="O37" s="13"/>
    </row>
    <row r="38" spans="1:15" ht="15" customHeight="1" x14ac:dyDescent="0.35">
      <c r="A38" s="12">
        <v>33</v>
      </c>
      <c r="B38" s="13"/>
      <c r="C38" s="14"/>
      <c r="D38" s="15"/>
      <c r="E38" s="16"/>
      <c r="F38" s="16"/>
      <c r="G38" s="17" t="str">
        <f t="shared" ref="G38:G69" si="3">IF(OR(E38="",F38=""),"",ROUND((F38-E38)*1440,1))</f>
        <v/>
      </c>
      <c r="H38" s="14"/>
      <c r="I38" s="17" t="str">
        <f t="shared" ref="I38:I69" si="4">IF(OR(H38="",G38="",G38=0),"",ROUND(H38/G38,0))</f>
        <v/>
      </c>
      <c r="J38" s="14"/>
      <c r="K38" s="14"/>
      <c r="L38" s="18" t="str">
        <f t="shared" ref="L38:L69" si="5">IF(OR(G38="",K38="",K38=0),"",ROUND((G38-K38)/K38,4))</f>
        <v/>
      </c>
      <c r="M38" s="19" t="str">
        <f>IF(OR(G38="",K38=""),"",IF(G38&lt;=K38*(1+'Test Config'!$E$12/100),"PASS","FAIL"))</f>
        <v/>
      </c>
      <c r="N38" s="14"/>
      <c r="O38" s="13"/>
    </row>
    <row r="39" spans="1:15" ht="15" customHeight="1" x14ac:dyDescent="0.35">
      <c r="A39" s="12">
        <v>34</v>
      </c>
      <c r="B39" s="13"/>
      <c r="C39" s="14"/>
      <c r="D39" s="15"/>
      <c r="E39" s="16"/>
      <c r="F39" s="16"/>
      <c r="G39" s="17" t="str">
        <f t="shared" si="3"/>
        <v/>
      </c>
      <c r="H39" s="14"/>
      <c r="I39" s="17" t="str">
        <f t="shared" si="4"/>
        <v/>
      </c>
      <c r="J39" s="14"/>
      <c r="K39" s="14"/>
      <c r="L39" s="18" t="str">
        <f t="shared" si="5"/>
        <v/>
      </c>
      <c r="M39" s="19" t="str">
        <f>IF(OR(G39="",K39=""),"",IF(G39&lt;=K39*(1+'Test Config'!$E$12/100),"PASS","FAIL"))</f>
        <v/>
      </c>
      <c r="N39" s="14"/>
      <c r="O39" s="13"/>
    </row>
    <row r="40" spans="1:15" ht="15" customHeight="1" x14ac:dyDescent="0.35">
      <c r="A40" s="12">
        <v>35</v>
      </c>
      <c r="B40" s="13"/>
      <c r="C40" s="14"/>
      <c r="D40" s="15"/>
      <c r="E40" s="16"/>
      <c r="F40" s="16"/>
      <c r="G40" s="17" t="str">
        <f t="shared" si="3"/>
        <v/>
      </c>
      <c r="H40" s="14"/>
      <c r="I40" s="17" t="str">
        <f t="shared" si="4"/>
        <v/>
      </c>
      <c r="J40" s="14"/>
      <c r="K40" s="14"/>
      <c r="L40" s="18" t="str">
        <f t="shared" si="5"/>
        <v/>
      </c>
      <c r="M40" s="19" t="str">
        <f>IF(OR(G40="",K40=""),"",IF(G40&lt;=K40*(1+'Test Config'!$E$12/100),"PASS","FAIL"))</f>
        <v/>
      </c>
      <c r="N40" s="14"/>
      <c r="O40" s="13"/>
    </row>
    <row r="41" spans="1:15" ht="15" customHeight="1" x14ac:dyDescent="0.35">
      <c r="A41" s="12">
        <v>36</v>
      </c>
      <c r="B41" s="13"/>
      <c r="C41" s="14"/>
      <c r="D41" s="15"/>
      <c r="E41" s="16"/>
      <c r="F41" s="16"/>
      <c r="G41" s="17" t="str">
        <f t="shared" si="3"/>
        <v/>
      </c>
      <c r="H41" s="14"/>
      <c r="I41" s="17" t="str">
        <f t="shared" si="4"/>
        <v/>
      </c>
      <c r="J41" s="14"/>
      <c r="K41" s="14"/>
      <c r="L41" s="18" t="str">
        <f t="shared" si="5"/>
        <v/>
      </c>
      <c r="M41" s="19" t="str">
        <f>IF(OR(G41="",K41=""),"",IF(G41&lt;=K41*(1+'Test Config'!$E$12/100),"PASS","FAIL"))</f>
        <v/>
      </c>
      <c r="N41" s="14"/>
      <c r="O41" s="13"/>
    </row>
    <row r="42" spans="1:15" ht="15" customHeight="1" x14ac:dyDescent="0.35">
      <c r="A42" s="12">
        <v>37</v>
      </c>
      <c r="B42" s="13"/>
      <c r="C42" s="14"/>
      <c r="D42" s="15"/>
      <c r="E42" s="16"/>
      <c r="F42" s="16"/>
      <c r="G42" s="17" t="str">
        <f t="shared" si="3"/>
        <v/>
      </c>
      <c r="H42" s="14"/>
      <c r="I42" s="17" t="str">
        <f t="shared" si="4"/>
        <v/>
      </c>
      <c r="J42" s="14"/>
      <c r="K42" s="14"/>
      <c r="L42" s="18" t="str">
        <f t="shared" si="5"/>
        <v/>
      </c>
      <c r="M42" s="19" t="str">
        <f>IF(OR(G42="",K42=""),"",IF(G42&lt;=K42*(1+'Test Config'!$E$12/100),"PASS","FAIL"))</f>
        <v/>
      </c>
      <c r="N42" s="14"/>
      <c r="O42" s="13"/>
    </row>
    <row r="43" spans="1:15" ht="15" customHeight="1" x14ac:dyDescent="0.35">
      <c r="A43" s="12">
        <v>38</v>
      </c>
      <c r="B43" s="13"/>
      <c r="C43" s="14"/>
      <c r="D43" s="15"/>
      <c r="E43" s="16"/>
      <c r="F43" s="16"/>
      <c r="G43" s="17" t="str">
        <f t="shared" si="3"/>
        <v/>
      </c>
      <c r="H43" s="14"/>
      <c r="I43" s="17" t="str">
        <f t="shared" si="4"/>
        <v/>
      </c>
      <c r="J43" s="14"/>
      <c r="K43" s="14"/>
      <c r="L43" s="18" t="str">
        <f t="shared" si="5"/>
        <v/>
      </c>
      <c r="M43" s="19" t="str">
        <f>IF(OR(G43="",K43=""),"",IF(G43&lt;=K43*(1+'Test Config'!$E$12/100),"PASS","FAIL"))</f>
        <v/>
      </c>
      <c r="N43" s="14"/>
      <c r="O43" s="13"/>
    </row>
    <row r="44" spans="1:15" ht="15" customHeight="1" x14ac:dyDescent="0.35">
      <c r="A44" s="12">
        <v>39</v>
      </c>
      <c r="B44" s="13"/>
      <c r="C44" s="14"/>
      <c r="D44" s="15"/>
      <c r="E44" s="16"/>
      <c r="F44" s="16"/>
      <c r="G44" s="17" t="str">
        <f t="shared" si="3"/>
        <v/>
      </c>
      <c r="H44" s="14"/>
      <c r="I44" s="17" t="str">
        <f t="shared" si="4"/>
        <v/>
      </c>
      <c r="J44" s="14"/>
      <c r="K44" s="14"/>
      <c r="L44" s="18" t="str">
        <f t="shared" si="5"/>
        <v/>
      </c>
      <c r="M44" s="19" t="str">
        <f>IF(OR(G44="",K44=""),"",IF(G44&lt;=K44*(1+'Test Config'!$E$12/100),"PASS","FAIL"))</f>
        <v/>
      </c>
      <c r="N44" s="14"/>
      <c r="O44" s="13"/>
    </row>
    <row r="45" spans="1:15" ht="15" customHeight="1" x14ac:dyDescent="0.35">
      <c r="A45" s="12">
        <v>40</v>
      </c>
      <c r="B45" s="13"/>
      <c r="C45" s="14"/>
      <c r="D45" s="15"/>
      <c r="E45" s="16"/>
      <c r="F45" s="16"/>
      <c r="G45" s="17" t="str">
        <f t="shared" si="3"/>
        <v/>
      </c>
      <c r="H45" s="14"/>
      <c r="I45" s="17" t="str">
        <f t="shared" si="4"/>
        <v/>
      </c>
      <c r="J45" s="14"/>
      <c r="K45" s="14"/>
      <c r="L45" s="18" t="str">
        <f t="shared" si="5"/>
        <v/>
      </c>
      <c r="M45" s="19" t="str">
        <f>IF(OR(G45="",K45=""),"",IF(G45&lt;=K45*(1+'Test Config'!$E$12/100),"PASS","FAIL"))</f>
        <v/>
      </c>
      <c r="N45" s="14"/>
      <c r="O45" s="13"/>
    </row>
    <row r="46" spans="1:15" ht="15" customHeight="1" x14ac:dyDescent="0.35">
      <c r="A46" s="12">
        <v>41</v>
      </c>
      <c r="B46" s="13"/>
      <c r="C46" s="14"/>
      <c r="D46" s="15"/>
      <c r="E46" s="16"/>
      <c r="F46" s="16"/>
      <c r="G46" s="17" t="str">
        <f t="shared" si="3"/>
        <v/>
      </c>
      <c r="H46" s="14"/>
      <c r="I46" s="17" t="str">
        <f t="shared" si="4"/>
        <v/>
      </c>
      <c r="J46" s="14"/>
      <c r="K46" s="14"/>
      <c r="L46" s="18" t="str">
        <f t="shared" si="5"/>
        <v/>
      </c>
      <c r="M46" s="19" t="str">
        <f>IF(OR(G46="",K46=""),"",IF(G46&lt;=K46*(1+'Test Config'!$E$12/100),"PASS","FAIL"))</f>
        <v/>
      </c>
      <c r="N46" s="14"/>
      <c r="O46" s="13"/>
    </row>
    <row r="47" spans="1:15" ht="15" customHeight="1" x14ac:dyDescent="0.35">
      <c r="A47" s="12">
        <v>42</v>
      </c>
      <c r="B47" s="13"/>
      <c r="C47" s="14"/>
      <c r="D47" s="15"/>
      <c r="E47" s="16"/>
      <c r="F47" s="16"/>
      <c r="G47" s="17" t="str">
        <f t="shared" si="3"/>
        <v/>
      </c>
      <c r="H47" s="14"/>
      <c r="I47" s="17" t="str">
        <f t="shared" si="4"/>
        <v/>
      </c>
      <c r="J47" s="14"/>
      <c r="K47" s="14"/>
      <c r="L47" s="18" t="str">
        <f t="shared" si="5"/>
        <v/>
      </c>
      <c r="M47" s="19" t="str">
        <f>IF(OR(G47="",K47=""),"",IF(G47&lt;=K47*(1+'Test Config'!$E$12/100),"PASS","FAIL"))</f>
        <v/>
      </c>
      <c r="N47" s="14"/>
      <c r="O47" s="13"/>
    </row>
    <row r="48" spans="1:15" ht="15" customHeight="1" x14ac:dyDescent="0.35">
      <c r="A48" s="12">
        <v>43</v>
      </c>
      <c r="B48" s="13"/>
      <c r="C48" s="14"/>
      <c r="D48" s="15"/>
      <c r="E48" s="16"/>
      <c r="F48" s="16"/>
      <c r="G48" s="17" t="str">
        <f t="shared" si="3"/>
        <v/>
      </c>
      <c r="H48" s="14"/>
      <c r="I48" s="17" t="str">
        <f t="shared" si="4"/>
        <v/>
      </c>
      <c r="J48" s="14"/>
      <c r="K48" s="14"/>
      <c r="L48" s="18" t="str">
        <f t="shared" si="5"/>
        <v/>
      </c>
      <c r="M48" s="19" t="str">
        <f>IF(OR(G48="",K48=""),"",IF(G48&lt;=K48*(1+'Test Config'!$E$12/100),"PASS","FAIL"))</f>
        <v/>
      </c>
      <c r="N48" s="14"/>
      <c r="O48" s="13"/>
    </row>
    <row r="49" spans="1:15" ht="15" customHeight="1" x14ac:dyDescent="0.35">
      <c r="A49" s="12">
        <v>44</v>
      </c>
      <c r="B49" s="13"/>
      <c r="C49" s="14"/>
      <c r="D49" s="15"/>
      <c r="E49" s="16"/>
      <c r="F49" s="16"/>
      <c r="G49" s="17" t="str">
        <f t="shared" si="3"/>
        <v/>
      </c>
      <c r="H49" s="14"/>
      <c r="I49" s="17" t="str">
        <f t="shared" si="4"/>
        <v/>
      </c>
      <c r="J49" s="14"/>
      <c r="K49" s="14"/>
      <c r="L49" s="18" t="str">
        <f t="shared" si="5"/>
        <v/>
      </c>
      <c r="M49" s="19" t="str">
        <f>IF(OR(G49="",K49=""),"",IF(G49&lt;=K49*(1+'Test Config'!$E$12/100),"PASS","FAIL"))</f>
        <v/>
      </c>
      <c r="N49" s="14"/>
      <c r="O49" s="13"/>
    </row>
    <row r="50" spans="1:15" ht="15" customHeight="1" x14ac:dyDescent="0.35">
      <c r="A50" s="12">
        <v>45</v>
      </c>
      <c r="B50" s="13"/>
      <c r="C50" s="14"/>
      <c r="D50" s="15"/>
      <c r="E50" s="16"/>
      <c r="F50" s="16"/>
      <c r="G50" s="17" t="str">
        <f t="shared" si="3"/>
        <v/>
      </c>
      <c r="H50" s="14"/>
      <c r="I50" s="17" t="str">
        <f t="shared" si="4"/>
        <v/>
      </c>
      <c r="J50" s="14"/>
      <c r="K50" s="14"/>
      <c r="L50" s="18" t="str">
        <f t="shared" si="5"/>
        <v/>
      </c>
      <c r="M50" s="19" t="str">
        <f>IF(OR(G50="",K50=""),"",IF(G50&lt;=K50*(1+'Test Config'!$E$12/100),"PASS","FAIL"))</f>
        <v/>
      </c>
      <c r="N50" s="14"/>
      <c r="O50" s="13"/>
    </row>
    <row r="51" spans="1:15" ht="15" customHeight="1" x14ac:dyDescent="0.35">
      <c r="A51" s="12">
        <v>46</v>
      </c>
      <c r="B51" s="13"/>
      <c r="C51" s="14"/>
      <c r="D51" s="15"/>
      <c r="E51" s="16"/>
      <c r="F51" s="16"/>
      <c r="G51" s="17" t="str">
        <f t="shared" si="3"/>
        <v/>
      </c>
      <c r="H51" s="14"/>
      <c r="I51" s="17" t="str">
        <f t="shared" si="4"/>
        <v/>
      </c>
      <c r="J51" s="14"/>
      <c r="K51" s="14"/>
      <c r="L51" s="18" t="str">
        <f t="shared" si="5"/>
        <v/>
      </c>
      <c r="M51" s="19" t="str">
        <f>IF(OR(G51="",K51=""),"",IF(G51&lt;=K51*(1+'Test Config'!$E$12/100),"PASS","FAIL"))</f>
        <v/>
      </c>
      <c r="N51" s="14"/>
      <c r="O51" s="13"/>
    </row>
    <row r="52" spans="1:15" ht="15" customHeight="1" x14ac:dyDescent="0.35">
      <c r="A52" s="12">
        <v>47</v>
      </c>
      <c r="B52" s="13"/>
      <c r="C52" s="14"/>
      <c r="D52" s="15"/>
      <c r="E52" s="16"/>
      <c r="F52" s="16"/>
      <c r="G52" s="17" t="str">
        <f t="shared" si="3"/>
        <v/>
      </c>
      <c r="H52" s="14"/>
      <c r="I52" s="17" t="str">
        <f t="shared" si="4"/>
        <v/>
      </c>
      <c r="J52" s="14"/>
      <c r="K52" s="14"/>
      <c r="L52" s="18" t="str">
        <f t="shared" si="5"/>
        <v/>
      </c>
      <c r="M52" s="19" t="str">
        <f>IF(OR(G52="",K52=""),"",IF(G52&lt;=K52*(1+'Test Config'!$E$12/100),"PASS","FAIL"))</f>
        <v/>
      </c>
      <c r="N52" s="14"/>
      <c r="O52" s="13"/>
    </row>
    <row r="53" spans="1:15" ht="15" customHeight="1" x14ac:dyDescent="0.35">
      <c r="A53" s="12">
        <v>48</v>
      </c>
      <c r="B53" s="13"/>
      <c r="C53" s="14"/>
      <c r="D53" s="15"/>
      <c r="E53" s="16"/>
      <c r="F53" s="16"/>
      <c r="G53" s="17" t="str">
        <f t="shared" si="3"/>
        <v/>
      </c>
      <c r="H53" s="14"/>
      <c r="I53" s="17" t="str">
        <f t="shared" si="4"/>
        <v/>
      </c>
      <c r="J53" s="14"/>
      <c r="K53" s="14"/>
      <c r="L53" s="18" t="str">
        <f t="shared" si="5"/>
        <v/>
      </c>
      <c r="M53" s="19" t="str">
        <f>IF(OR(G53="",K53=""),"",IF(G53&lt;=K53*(1+'Test Config'!$E$12/100),"PASS","FAIL"))</f>
        <v/>
      </c>
      <c r="N53" s="14"/>
      <c r="O53" s="13"/>
    </row>
    <row r="54" spans="1:15" ht="15" customHeight="1" x14ac:dyDescent="0.35">
      <c r="A54" s="12">
        <v>49</v>
      </c>
      <c r="B54" s="13"/>
      <c r="C54" s="14"/>
      <c r="D54" s="15"/>
      <c r="E54" s="16"/>
      <c r="F54" s="16"/>
      <c r="G54" s="17" t="str">
        <f t="shared" si="3"/>
        <v/>
      </c>
      <c r="H54" s="14"/>
      <c r="I54" s="17" t="str">
        <f t="shared" si="4"/>
        <v/>
      </c>
      <c r="J54" s="14"/>
      <c r="K54" s="14"/>
      <c r="L54" s="18" t="str">
        <f t="shared" si="5"/>
        <v/>
      </c>
      <c r="M54" s="19" t="str">
        <f>IF(OR(G54="",K54=""),"",IF(G54&lt;=K54*(1+'Test Config'!$E$12/100),"PASS","FAIL"))</f>
        <v/>
      </c>
      <c r="N54" s="14"/>
      <c r="O54" s="13"/>
    </row>
    <row r="55" spans="1:15" ht="15" customHeight="1" x14ac:dyDescent="0.35">
      <c r="A55" s="12">
        <v>50</v>
      </c>
      <c r="B55" s="13"/>
      <c r="C55" s="14"/>
      <c r="D55" s="15"/>
      <c r="E55" s="16"/>
      <c r="F55" s="16"/>
      <c r="G55" s="17" t="str">
        <f t="shared" si="3"/>
        <v/>
      </c>
      <c r="H55" s="14"/>
      <c r="I55" s="17" t="str">
        <f t="shared" si="4"/>
        <v/>
      </c>
      <c r="J55" s="14"/>
      <c r="K55" s="14"/>
      <c r="L55" s="18" t="str">
        <f t="shared" si="5"/>
        <v/>
      </c>
      <c r="M55" s="19" t="str">
        <f>IF(OR(G55="",K55=""),"",IF(G55&lt;=K55*(1+'Test Config'!$E$12/100),"PASS","FAIL"))</f>
        <v/>
      </c>
      <c r="N55" s="14"/>
      <c r="O55" s="13"/>
    </row>
    <row r="56" spans="1:15" ht="15" customHeight="1" x14ac:dyDescent="0.35">
      <c r="A56" s="12">
        <v>51</v>
      </c>
      <c r="B56" s="13"/>
      <c r="C56" s="14"/>
      <c r="D56" s="15"/>
      <c r="E56" s="16"/>
      <c r="F56" s="16"/>
      <c r="G56" s="17" t="str">
        <f t="shared" si="3"/>
        <v/>
      </c>
      <c r="H56" s="14"/>
      <c r="I56" s="17" t="str">
        <f t="shared" si="4"/>
        <v/>
      </c>
      <c r="J56" s="14"/>
      <c r="K56" s="14"/>
      <c r="L56" s="18" t="str">
        <f t="shared" si="5"/>
        <v/>
      </c>
      <c r="M56" s="19" t="str">
        <f>IF(OR(G56="",K56=""),"",IF(G56&lt;=K56*(1+'Test Config'!$E$12/100),"PASS","FAIL"))</f>
        <v/>
      </c>
      <c r="N56" s="14"/>
      <c r="O56" s="13"/>
    </row>
    <row r="57" spans="1:15" ht="15" customHeight="1" x14ac:dyDescent="0.35">
      <c r="A57" s="12">
        <v>52</v>
      </c>
      <c r="B57" s="13"/>
      <c r="C57" s="14"/>
      <c r="D57" s="15"/>
      <c r="E57" s="16"/>
      <c r="F57" s="16"/>
      <c r="G57" s="17" t="str">
        <f t="shared" si="3"/>
        <v/>
      </c>
      <c r="H57" s="14"/>
      <c r="I57" s="17" t="str">
        <f t="shared" si="4"/>
        <v/>
      </c>
      <c r="J57" s="14"/>
      <c r="K57" s="14"/>
      <c r="L57" s="18" t="str">
        <f t="shared" si="5"/>
        <v/>
      </c>
      <c r="M57" s="19" t="str">
        <f>IF(OR(G57="",K57=""),"",IF(G57&lt;=K57*(1+'Test Config'!$E$12/100),"PASS","FAIL"))</f>
        <v/>
      </c>
      <c r="N57" s="14"/>
      <c r="O57" s="13"/>
    </row>
    <row r="58" spans="1:15" ht="15" customHeight="1" x14ac:dyDescent="0.35">
      <c r="A58" s="12">
        <v>53</v>
      </c>
      <c r="B58" s="13"/>
      <c r="C58" s="14"/>
      <c r="D58" s="15"/>
      <c r="E58" s="16"/>
      <c r="F58" s="16"/>
      <c r="G58" s="17" t="str">
        <f t="shared" si="3"/>
        <v/>
      </c>
      <c r="H58" s="14"/>
      <c r="I58" s="17" t="str">
        <f t="shared" si="4"/>
        <v/>
      </c>
      <c r="J58" s="14"/>
      <c r="K58" s="14"/>
      <c r="L58" s="18" t="str">
        <f t="shared" si="5"/>
        <v/>
      </c>
      <c r="M58" s="19" t="str">
        <f>IF(OR(G58="",K58=""),"",IF(G58&lt;=K58*(1+'Test Config'!$E$12/100),"PASS","FAIL"))</f>
        <v/>
      </c>
      <c r="N58" s="14"/>
      <c r="O58" s="13"/>
    </row>
    <row r="59" spans="1:15" ht="15" customHeight="1" x14ac:dyDescent="0.35">
      <c r="A59" s="12">
        <v>54</v>
      </c>
      <c r="B59" s="13"/>
      <c r="C59" s="14"/>
      <c r="D59" s="15"/>
      <c r="E59" s="16"/>
      <c r="F59" s="16"/>
      <c r="G59" s="17" t="str">
        <f t="shared" si="3"/>
        <v/>
      </c>
      <c r="H59" s="14"/>
      <c r="I59" s="17" t="str">
        <f t="shared" si="4"/>
        <v/>
      </c>
      <c r="J59" s="14"/>
      <c r="K59" s="14"/>
      <c r="L59" s="18" t="str">
        <f t="shared" si="5"/>
        <v/>
      </c>
      <c r="M59" s="19" t="str">
        <f>IF(OR(G59="",K59=""),"",IF(G59&lt;=K59*(1+'Test Config'!$E$12/100),"PASS","FAIL"))</f>
        <v/>
      </c>
      <c r="N59" s="14"/>
      <c r="O59" s="13"/>
    </row>
    <row r="60" spans="1:15" ht="15" customHeight="1" x14ac:dyDescent="0.35">
      <c r="A60" s="12">
        <v>55</v>
      </c>
      <c r="B60" s="13"/>
      <c r="C60" s="14"/>
      <c r="D60" s="15"/>
      <c r="E60" s="16"/>
      <c r="F60" s="16"/>
      <c r="G60" s="17" t="str">
        <f t="shared" si="3"/>
        <v/>
      </c>
      <c r="H60" s="14"/>
      <c r="I60" s="17" t="str">
        <f t="shared" si="4"/>
        <v/>
      </c>
      <c r="J60" s="14"/>
      <c r="K60" s="14"/>
      <c r="L60" s="18" t="str">
        <f t="shared" si="5"/>
        <v/>
      </c>
      <c r="M60" s="19" t="str">
        <f>IF(OR(G60="",K60=""),"",IF(G60&lt;=K60*(1+'Test Config'!$E$12/100),"PASS","FAIL"))</f>
        <v/>
      </c>
      <c r="N60" s="14"/>
      <c r="O60" s="13"/>
    </row>
    <row r="61" spans="1:15" ht="15" customHeight="1" x14ac:dyDescent="0.35">
      <c r="A61" s="12">
        <v>56</v>
      </c>
      <c r="B61" s="13"/>
      <c r="C61" s="14"/>
      <c r="D61" s="15"/>
      <c r="E61" s="16"/>
      <c r="F61" s="16"/>
      <c r="G61" s="17" t="str">
        <f t="shared" si="3"/>
        <v/>
      </c>
      <c r="H61" s="14"/>
      <c r="I61" s="17" t="str">
        <f t="shared" si="4"/>
        <v/>
      </c>
      <c r="J61" s="14"/>
      <c r="K61" s="14"/>
      <c r="L61" s="18" t="str">
        <f t="shared" si="5"/>
        <v/>
      </c>
      <c r="M61" s="19" t="str">
        <f>IF(OR(G61="",K61=""),"",IF(G61&lt;=K61*(1+'Test Config'!$E$12/100),"PASS","FAIL"))</f>
        <v/>
      </c>
      <c r="N61" s="14"/>
      <c r="O61" s="13"/>
    </row>
    <row r="62" spans="1:15" ht="15" customHeight="1" x14ac:dyDescent="0.35">
      <c r="A62" s="12">
        <v>57</v>
      </c>
      <c r="B62" s="13"/>
      <c r="C62" s="14"/>
      <c r="D62" s="15"/>
      <c r="E62" s="16"/>
      <c r="F62" s="16"/>
      <c r="G62" s="17" t="str">
        <f t="shared" si="3"/>
        <v/>
      </c>
      <c r="H62" s="14"/>
      <c r="I62" s="17" t="str">
        <f t="shared" si="4"/>
        <v/>
      </c>
      <c r="J62" s="14"/>
      <c r="K62" s="14"/>
      <c r="L62" s="18" t="str">
        <f t="shared" si="5"/>
        <v/>
      </c>
      <c r="M62" s="19" t="str">
        <f>IF(OR(G62="",K62=""),"",IF(G62&lt;=K62*(1+'Test Config'!$E$12/100),"PASS","FAIL"))</f>
        <v/>
      </c>
      <c r="N62" s="14"/>
      <c r="O62" s="13"/>
    </row>
    <row r="63" spans="1:15" ht="15" customHeight="1" x14ac:dyDescent="0.35">
      <c r="A63" s="12">
        <v>58</v>
      </c>
      <c r="B63" s="13"/>
      <c r="C63" s="14"/>
      <c r="D63" s="15"/>
      <c r="E63" s="16"/>
      <c r="F63" s="16"/>
      <c r="G63" s="17" t="str">
        <f t="shared" si="3"/>
        <v/>
      </c>
      <c r="H63" s="14"/>
      <c r="I63" s="17" t="str">
        <f t="shared" si="4"/>
        <v/>
      </c>
      <c r="J63" s="14"/>
      <c r="K63" s="14"/>
      <c r="L63" s="18" t="str">
        <f t="shared" si="5"/>
        <v/>
      </c>
      <c r="M63" s="19" t="str">
        <f>IF(OR(G63="",K63=""),"",IF(G63&lt;=K63*(1+'Test Config'!$E$12/100),"PASS","FAIL"))</f>
        <v/>
      </c>
      <c r="N63" s="14"/>
      <c r="O63" s="13"/>
    </row>
    <row r="64" spans="1:15" ht="15" customHeight="1" x14ac:dyDescent="0.35">
      <c r="A64" s="12">
        <v>59</v>
      </c>
      <c r="B64" s="13"/>
      <c r="C64" s="14"/>
      <c r="D64" s="15"/>
      <c r="E64" s="16"/>
      <c r="F64" s="16"/>
      <c r="G64" s="17" t="str">
        <f t="shared" si="3"/>
        <v/>
      </c>
      <c r="H64" s="14"/>
      <c r="I64" s="17" t="str">
        <f t="shared" si="4"/>
        <v/>
      </c>
      <c r="J64" s="14"/>
      <c r="K64" s="14"/>
      <c r="L64" s="18" t="str">
        <f t="shared" si="5"/>
        <v/>
      </c>
      <c r="M64" s="19" t="str">
        <f>IF(OR(G64="",K64=""),"",IF(G64&lt;=K64*(1+'Test Config'!$E$12/100),"PASS","FAIL"))</f>
        <v/>
      </c>
      <c r="N64" s="14"/>
      <c r="O64" s="13"/>
    </row>
    <row r="65" spans="1:15" ht="15" customHeight="1" x14ac:dyDescent="0.35">
      <c r="A65" s="12">
        <v>60</v>
      </c>
      <c r="B65" s="13"/>
      <c r="C65" s="14"/>
      <c r="D65" s="15"/>
      <c r="E65" s="16"/>
      <c r="F65" s="16"/>
      <c r="G65" s="17" t="str">
        <f t="shared" si="3"/>
        <v/>
      </c>
      <c r="H65" s="14"/>
      <c r="I65" s="17" t="str">
        <f t="shared" si="4"/>
        <v/>
      </c>
      <c r="J65" s="14"/>
      <c r="K65" s="14"/>
      <c r="L65" s="18" t="str">
        <f t="shared" si="5"/>
        <v/>
      </c>
      <c r="M65" s="19" t="str">
        <f>IF(OR(G65="",K65=""),"",IF(G65&lt;=K65*(1+'Test Config'!$E$12/100),"PASS","FAIL"))</f>
        <v/>
      </c>
      <c r="N65" s="14"/>
      <c r="O65" s="13"/>
    </row>
    <row r="67" spans="1:15" ht="19.5" customHeight="1" x14ac:dyDescent="0.35">
      <c r="B67" s="20" t="s">
        <v>53</v>
      </c>
      <c r="H67" s="20">
        <f>SUM(H6:H65)</f>
        <v>0</v>
      </c>
      <c r="M67" s="20" t="str">
        <f>COUNTIF(M6:M65,"PASS")&amp;" PASS / "&amp;COUNTIF(M6:M65,"FAIL")&amp;" FAIL"</f>
        <v>0 PASS / 0 FAIL</v>
      </c>
    </row>
  </sheetData>
  <mergeCells count="2">
    <mergeCell ref="A1:O2"/>
    <mergeCell ref="A3:O3"/>
  </mergeCells>
  <conditionalFormatting sqref="L6:L65">
    <cfRule type="cellIs" dxfId="11" priority="4" operator="greaterThan">
      <formula>0.1</formula>
    </cfRule>
    <cfRule type="cellIs" dxfId="10" priority="5" operator="lessThanOrEqual">
      <formula>0</formula>
    </cfRule>
  </conditionalFormatting>
  <conditionalFormatting sqref="M6:M65">
    <cfRule type="expression" dxfId="9" priority="2">
      <formula>M6="PASS"</formula>
    </cfRule>
    <cfRule type="expression" dxfId="8" priority="3">
      <formula>M6="FAIL"</formula>
    </cfRule>
  </conditionalFormatting>
  <dataValidations count="2">
    <dataValidation type="list" allowBlank="1" sqref="C6:C65" xr:uid="{00000000-0002-0000-0200-000000000000}">
      <formula1>"Run 1,Run 2,Run 3,Baseline,Regression,Peak Load,Stress"</formula1>
      <formula2>0</formula2>
    </dataValidation>
    <dataValidation type="list" allowBlank="1" sqref="N6:N65" xr:uid="{00000000-0002-0000-0200-000001000000}">
      <formula1>"SIT,PERF,UAT,PRE-PROD,PROD"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5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sqref="A1:L2"/>
    </sheetView>
  </sheetViews>
  <sheetFormatPr defaultColWidth="8.6328125" defaultRowHeight="14.5" x14ac:dyDescent="0.35"/>
  <cols>
    <col min="1" max="1" width="4" customWidth="1"/>
    <col min="2" max="2" width="7" customWidth="1"/>
    <col min="3" max="3" width="22" customWidth="1"/>
    <col min="4" max="4" width="10" customWidth="1"/>
    <col min="5" max="11" width="12" customWidth="1"/>
    <col min="12" max="12" width="30" customWidth="1"/>
  </cols>
  <sheetData>
    <row r="1" spans="1:12" ht="21.75" customHeight="1" x14ac:dyDescent="0.35">
      <c r="A1" s="7" t="s">
        <v>54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21.75" customHeight="1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ht="15.75" customHeight="1" x14ac:dyDescent="0.35">
      <c r="A3" s="6" t="s">
        <v>55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5" spans="1:12" ht="31.5" customHeight="1" x14ac:dyDescent="0.35">
      <c r="A5" s="11" t="s">
        <v>34</v>
      </c>
      <c r="B5" s="11" t="s">
        <v>35</v>
      </c>
      <c r="C5" s="11" t="s">
        <v>56</v>
      </c>
      <c r="D5" s="11" t="s">
        <v>57</v>
      </c>
      <c r="E5" s="11" t="s">
        <v>58</v>
      </c>
      <c r="F5" s="11" t="s">
        <v>59</v>
      </c>
      <c r="G5" s="11" t="s">
        <v>60</v>
      </c>
      <c r="H5" s="11" t="s">
        <v>61</v>
      </c>
      <c r="I5" s="11" t="s">
        <v>62</v>
      </c>
      <c r="J5" s="11" t="s">
        <v>63</v>
      </c>
      <c r="K5" s="11" t="s">
        <v>64</v>
      </c>
      <c r="L5" s="11" t="s">
        <v>52</v>
      </c>
    </row>
    <row r="6" spans="1:12" ht="15" customHeight="1" x14ac:dyDescent="0.35">
      <c r="A6" s="12">
        <v>1</v>
      </c>
      <c r="B6" s="13"/>
      <c r="C6" s="14"/>
      <c r="D6" s="14"/>
      <c r="E6" s="14"/>
      <c r="F6" s="14"/>
      <c r="G6" s="14"/>
      <c r="H6" s="14"/>
      <c r="I6" s="14"/>
      <c r="J6" s="14"/>
      <c r="K6" s="14"/>
      <c r="L6" s="13"/>
    </row>
    <row r="7" spans="1:12" ht="15" customHeight="1" x14ac:dyDescent="0.35">
      <c r="A7" s="12">
        <v>2</v>
      </c>
      <c r="B7" s="13"/>
      <c r="C7" s="14"/>
      <c r="D7" s="14"/>
      <c r="E7" s="14"/>
      <c r="F7" s="14"/>
      <c r="G7" s="14"/>
      <c r="H7" s="14"/>
      <c r="I7" s="14"/>
      <c r="J7" s="14"/>
      <c r="K7" s="14"/>
      <c r="L7" s="13"/>
    </row>
    <row r="8" spans="1:12" ht="15" customHeight="1" x14ac:dyDescent="0.35">
      <c r="A8" s="12">
        <v>3</v>
      </c>
      <c r="B8" s="13"/>
      <c r="C8" s="14"/>
      <c r="D8" s="14"/>
      <c r="E8" s="14"/>
      <c r="F8" s="14"/>
      <c r="G8" s="14"/>
      <c r="H8" s="14"/>
      <c r="I8" s="14"/>
      <c r="J8" s="14"/>
      <c r="K8" s="14"/>
      <c r="L8" s="13"/>
    </row>
    <row r="9" spans="1:12" ht="15" customHeight="1" x14ac:dyDescent="0.35">
      <c r="A9" s="12">
        <v>4</v>
      </c>
      <c r="B9" s="13"/>
      <c r="C9" s="14"/>
      <c r="D9" s="14"/>
      <c r="E9" s="14"/>
      <c r="F9" s="14"/>
      <c r="G9" s="14"/>
      <c r="H9" s="14"/>
      <c r="I9" s="14"/>
      <c r="J9" s="14"/>
      <c r="K9" s="14"/>
      <c r="L9" s="13"/>
    </row>
    <row r="10" spans="1:12" ht="15" customHeight="1" x14ac:dyDescent="0.35">
      <c r="A10" s="12">
        <v>5</v>
      </c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3"/>
    </row>
    <row r="11" spans="1:12" ht="15" customHeight="1" x14ac:dyDescent="0.35">
      <c r="A11" s="12">
        <v>6</v>
      </c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3"/>
    </row>
    <row r="12" spans="1:12" ht="15" customHeight="1" x14ac:dyDescent="0.35">
      <c r="A12" s="12">
        <v>7</v>
      </c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3"/>
    </row>
    <row r="13" spans="1:12" ht="15" customHeight="1" x14ac:dyDescent="0.35">
      <c r="A13" s="12">
        <v>8</v>
      </c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3"/>
    </row>
    <row r="14" spans="1:12" ht="15" customHeight="1" x14ac:dyDescent="0.35">
      <c r="A14" s="12">
        <v>9</v>
      </c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3"/>
    </row>
    <row r="15" spans="1:12" ht="15" customHeight="1" x14ac:dyDescent="0.35">
      <c r="A15" s="12">
        <v>10</v>
      </c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3"/>
    </row>
    <row r="16" spans="1:12" ht="15" customHeight="1" x14ac:dyDescent="0.35">
      <c r="A16" s="12">
        <v>11</v>
      </c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3"/>
    </row>
    <row r="17" spans="1:12" ht="15" customHeight="1" x14ac:dyDescent="0.35">
      <c r="A17" s="12">
        <v>12</v>
      </c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3"/>
    </row>
    <row r="18" spans="1:12" ht="15" customHeight="1" x14ac:dyDescent="0.35">
      <c r="A18" s="12">
        <v>13</v>
      </c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3"/>
    </row>
    <row r="19" spans="1:12" ht="15" customHeight="1" x14ac:dyDescent="0.35">
      <c r="A19" s="12">
        <v>14</v>
      </c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3"/>
    </row>
    <row r="20" spans="1:12" ht="15" customHeight="1" x14ac:dyDescent="0.35">
      <c r="A20" s="12">
        <v>15</v>
      </c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3"/>
    </row>
    <row r="21" spans="1:12" ht="15" customHeight="1" x14ac:dyDescent="0.35">
      <c r="A21" s="12">
        <v>16</v>
      </c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3"/>
    </row>
    <row r="22" spans="1:12" ht="15" customHeight="1" x14ac:dyDescent="0.35">
      <c r="A22" s="12">
        <v>17</v>
      </c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3"/>
    </row>
    <row r="23" spans="1:12" ht="15" customHeight="1" x14ac:dyDescent="0.35">
      <c r="A23" s="12">
        <v>18</v>
      </c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3"/>
    </row>
    <row r="24" spans="1:12" ht="15" customHeight="1" x14ac:dyDescent="0.35">
      <c r="A24" s="12">
        <v>19</v>
      </c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3"/>
    </row>
    <row r="25" spans="1:12" ht="15" customHeight="1" x14ac:dyDescent="0.35">
      <c r="A25" s="12">
        <v>20</v>
      </c>
      <c r="B25" s="13"/>
      <c r="C25" s="14"/>
      <c r="D25" s="14"/>
      <c r="E25" s="14"/>
      <c r="F25" s="14"/>
      <c r="G25" s="14"/>
      <c r="H25" s="14"/>
      <c r="I25" s="14"/>
      <c r="J25" s="14"/>
      <c r="K25" s="14"/>
      <c r="L25" s="13"/>
    </row>
    <row r="26" spans="1:12" ht="15" customHeight="1" x14ac:dyDescent="0.35">
      <c r="A26" s="12">
        <v>21</v>
      </c>
      <c r="B26" s="13"/>
      <c r="C26" s="14"/>
      <c r="D26" s="14"/>
      <c r="E26" s="14"/>
      <c r="F26" s="14"/>
      <c r="G26" s="14"/>
      <c r="H26" s="14"/>
      <c r="I26" s="14"/>
      <c r="J26" s="14"/>
      <c r="K26" s="14"/>
      <c r="L26" s="13"/>
    </row>
    <row r="27" spans="1:12" ht="15" customHeight="1" x14ac:dyDescent="0.35">
      <c r="A27" s="12">
        <v>22</v>
      </c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3"/>
    </row>
    <row r="28" spans="1:12" ht="15" customHeight="1" x14ac:dyDescent="0.35">
      <c r="A28" s="12">
        <v>23</v>
      </c>
      <c r="B28" s="13"/>
      <c r="C28" s="14"/>
      <c r="D28" s="14"/>
      <c r="E28" s="14"/>
      <c r="F28" s="14"/>
      <c r="G28" s="14"/>
      <c r="H28" s="14"/>
      <c r="I28" s="14"/>
      <c r="J28" s="14"/>
      <c r="K28" s="14"/>
      <c r="L28" s="13"/>
    </row>
    <row r="29" spans="1:12" ht="15" customHeight="1" x14ac:dyDescent="0.35">
      <c r="A29" s="12">
        <v>24</v>
      </c>
      <c r="B29" s="13"/>
      <c r="C29" s="14"/>
      <c r="D29" s="14"/>
      <c r="E29" s="14"/>
      <c r="F29" s="14"/>
      <c r="G29" s="14"/>
      <c r="H29" s="14"/>
      <c r="I29" s="14"/>
      <c r="J29" s="14"/>
      <c r="K29" s="14"/>
      <c r="L29" s="13"/>
    </row>
    <row r="30" spans="1:12" ht="15" customHeight="1" x14ac:dyDescent="0.35">
      <c r="A30" s="12">
        <v>25</v>
      </c>
      <c r="B30" s="13"/>
      <c r="C30" s="14"/>
      <c r="D30" s="14"/>
      <c r="E30" s="14"/>
      <c r="F30" s="14"/>
      <c r="G30" s="14"/>
      <c r="H30" s="14"/>
      <c r="I30" s="14"/>
      <c r="J30" s="14"/>
      <c r="K30" s="14"/>
      <c r="L30" s="13"/>
    </row>
    <row r="31" spans="1:12" ht="15" customHeight="1" x14ac:dyDescent="0.35">
      <c r="A31" s="12">
        <v>26</v>
      </c>
      <c r="B31" s="13"/>
      <c r="C31" s="14"/>
      <c r="D31" s="14"/>
      <c r="E31" s="14"/>
      <c r="F31" s="14"/>
      <c r="G31" s="14"/>
      <c r="H31" s="14"/>
      <c r="I31" s="14"/>
      <c r="J31" s="14"/>
      <c r="K31" s="14"/>
      <c r="L31" s="13"/>
    </row>
    <row r="32" spans="1:12" ht="15" customHeight="1" x14ac:dyDescent="0.35">
      <c r="A32" s="12">
        <v>27</v>
      </c>
      <c r="B32" s="13"/>
      <c r="C32" s="14"/>
      <c r="D32" s="14"/>
      <c r="E32" s="14"/>
      <c r="F32" s="14"/>
      <c r="G32" s="14"/>
      <c r="H32" s="14"/>
      <c r="I32" s="14"/>
      <c r="J32" s="14"/>
      <c r="K32" s="14"/>
      <c r="L32" s="13"/>
    </row>
    <row r="33" spans="1:12" ht="15" customHeight="1" x14ac:dyDescent="0.35">
      <c r="A33" s="12">
        <v>28</v>
      </c>
      <c r="B33" s="13"/>
      <c r="C33" s="14"/>
      <c r="D33" s="14"/>
      <c r="E33" s="14"/>
      <c r="F33" s="14"/>
      <c r="G33" s="14"/>
      <c r="H33" s="14"/>
      <c r="I33" s="14"/>
      <c r="J33" s="14"/>
      <c r="K33" s="14"/>
      <c r="L33" s="13"/>
    </row>
    <row r="34" spans="1:12" ht="15" customHeight="1" x14ac:dyDescent="0.35">
      <c r="A34" s="12">
        <v>29</v>
      </c>
      <c r="B34" s="13"/>
      <c r="C34" s="14"/>
      <c r="D34" s="14"/>
      <c r="E34" s="14"/>
      <c r="F34" s="14"/>
      <c r="G34" s="14"/>
      <c r="H34" s="14"/>
      <c r="I34" s="14"/>
      <c r="J34" s="14"/>
      <c r="K34" s="14"/>
      <c r="L34" s="13"/>
    </row>
    <row r="35" spans="1:12" ht="15" customHeight="1" x14ac:dyDescent="0.35">
      <c r="A35" s="12">
        <v>30</v>
      </c>
      <c r="B35" s="13"/>
      <c r="C35" s="14"/>
      <c r="D35" s="14"/>
      <c r="E35" s="14"/>
      <c r="F35" s="14"/>
      <c r="G35" s="14"/>
      <c r="H35" s="14"/>
      <c r="I35" s="14"/>
      <c r="J35" s="14"/>
      <c r="K35" s="14"/>
      <c r="L35" s="13"/>
    </row>
    <row r="36" spans="1:12" ht="15" customHeight="1" x14ac:dyDescent="0.35">
      <c r="A36" s="12">
        <v>31</v>
      </c>
      <c r="B36" s="13"/>
      <c r="C36" s="14"/>
      <c r="D36" s="14"/>
      <c r="E36" s="14"/>
      <c r="F36" s="14"/>
      <c r="G36" s="14"/>
      <c r="H36" s="14"/>
      <c r="I36" s="14"/>
      <c r="J36" s="14"/>
      <c r="K36" s="14"/>
      <c r="L36" s="13"/>
    </row>
    <row r="37" spans="1:12" ht="15" customHeight="1" x14ac:dyDescent="0.35">
      <c r="A37" s="12">
        <v>32</v>
      </c>
      <c r="B37" s="13"/>
      <c r="C37" s="14"/>
      <c r="D37" s="14"/>
      <c r="E37" s="14"/>
      <c r="F37" s="14"/>
      <c r="G37" s="14"/>
      <c r="H37" s="14"/>
      <c r="I37" s="14"/>
      <c r="J37" s="14"/>
      <c r="K37" s="14"/>
      <c r="L37" s="13"/>
    </row>
    <row r="38" spans="1:12" ht="15" customHeight="1" x14ac:dyDescent="0.35">
      <c r="A38" s="12">
        <v>33</v>
      </c>
      <c r="B38" s="13"/>
      <c r="C38" s="14"/>
      <c r="D38" s="14"/>
      <c r="E38" s="14"/>
      <c r="F38" s="14"/>
      <c r="G38" s="14"/>
      <c r="H38" s="14"/>
      <c r="I38" s="14"/>
      <c r="J38" s="14"/>
      <c r="K38" s="14"/>
      <c r="L38" s="13"/>
    </row>
    <row r="39" spans="1:12" ht="15" customHeight="1" x14ac:dyDescent="0.35">
      <c r="A39" s="12">
        <v>34</v>
      </c>
      <c r="B39" s="13"/>
      <c r="C39" s="14"/>
      <c r="D39" s="14"/>
      <c r="E39" s="14"/>
      <c r="F39" s="14"/>
      <c r="G39" s="14"/>
      <c r="H39" s="14"/>
      <c r="I39" s="14"/>
      <c r="J39" s="14"/>
      <c r="K39" s="14"/>
      <c r="L39" s="13"/>
    </row>
    <row r="40" spans="1:12" ht="15" customHeight="1" x14ac:dyDescent="0.35">
      <c r="A40" s="12">
        <v>35</v>
      </c>
      <c r="B40" s="13"/>
      <c r="C40" s="14"/>
      <c r="D40" s="14"/>
      <c r="E40" s="14"/>
      <c r="F40" s="14"/>
      <c r="G40" s="14"/>
      <c r="H40" s="14"/>
      <c r="I40" s="14"/>
      <c r="J40" s="14"/>
      <c r="K40" s="14"/>
      <c r="L40" s="13"/>
    </row>
    <row r="41" spans="1:12" ht="15" customHeight="1" x14ac:dyDescent="0.35">
      <c r="A41" s="12">
        <v>36</v>
      </c>
      <c r="B41" s="13"/>
      <c r="C41" s="14"/>
      <c r="D41" s="14"/>
      <c r="E41" s="14"/>
      <c r="F41" s="14"/>
      <c r="G41" s="14"/>
      <c r="H41" s="14"/>
      <c r="I41" s="14"/>
      <c r="J41" s="14"/>
      <c r="K41" s="14"/>
      <c r="L41" s="13"/>
    </row>
    <row r="42" spans="1:12" ht="15" customHeight="1" x14ac:dyDescent="0.35">
      <c r="A42" s="12">
        <v>37</v>
      </c>
      <c r="B42" s="13"/>
      <c r="C42" s="14"/>
      <c r="D42" s="14"/>
      <c r="E42" s="14"/>
      <c r="F42" s="14"/>
      <c r="G42" s="14"/>
      <c r="H42" s="14"/>
      <c r="I42" s="14"/>
      <c r="J42" s="14"/>
      <c r="K42" s="14"/>
      <c r="L42" s="13"/>
    </row>
    <row r="43" spans="1:12" ht="15" customHeight="1" x14ac:dyDescent="0.35">
      <c r="A43" s="12">
        <v>38</v>
      </c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3"/>
    </row>
    <row r="44" spans="1:12" ht="15" customHeight="1" x14ac:dyDescent="0.35">
      <c r="A44" s="12">
        <v>39</v>
      </c>
      <c r="B44" s="13"/>
      <c r="C44" s="14"/>
      <c r="D44" s="14"/>
      <c r="E44" s="14"/>
      <c r="F44" s="14"/>
      <c r="G44" s="14"/>
      <c r="H44" s="14"/>
      <c r="I44" s="14"/>
      <c r="J44" s="14"/>
      <c r="K44" s="14"/>
      <c r="L44" s="13"/>
    </row>
    <row r="45" spans="1:12" ht="15" customHeight="1" x14ac:dyDescent="0.35">
      <c r="A45" s="12">
        <v>40</v>
      </c>
      <c r="B45" s="13"/>
      <c r="C45" s="14"/>
      <c r="D45" s="14"/>
      <c r="E45" s="14"/>
      <c r="F45" s="14"/>
      <c r="G45" s="14"/>
      <c r="H45" s="14"/>
      <c r="I45" s="14"/>
      <c r="J45" s="14"/>
      <c r="K45" s="14"/>
      <c r="L45" s="13"/>
    </row>
  </sheetData>
  <mergeCells count="2">
    <mergeCell ref="A1:L2"/>
    <mergeCell ref="A3:L3"/>
  </mergeCells>
  <conditionalFormatting sqref="E6:H45">
    <cfRule type="cellIs" dxfId="7" priority="2" operator="greaterThan">
      <formula>85</formula>
    </cfRule>
    <cfRule type="cellIs" dxfId="6" priority="3" operator="between">
      <formula>70</formula>
      <formula>85</formula>
    </cfRule>
  </conditionalFormatting>
  <dataValidations count="2">
    <dataValidation type="list" allowBlank="1" sqref="C6:C45" xr:uid="{00000000-0002-0000-0300-000000000000}">
      <formula1>"Run 1,Run 2,Run 3,Baseline,Regression,Peak Load,Stress"</formula1>
      <formula2>0</formula2>
    </dataValidation>
    <dataValidation type="list" allowBlank="1" sqref="D6:D45" xr:uid="{00000000-0002-0000-0300-000001000000}">
      <formula1>"App Server,DB Server,Batch Server,Interface Server"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5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sqref="A1:I2"/>
    </sheetView>
  </sheetViews>
  <sheetFormatPr defaultColWidth="8.6328125" defaultRowHeight="14.5" x14ac:dyDescent="0.35"/>
  <cols>
    <col min="1" max="1" width="4" customWidth="1"/>
    <col min="2" max="2" width="7" customWidth="1"/>
    <col min="3" max="3" width="22" customWidth="1"/>
    <col min="4" max="4" width="10" customWidth="1"/>
    <col min="5" max="5" width="34" customWidth="1"/>
    <col min="6" max="6" width="12" customWidth="1"/>
    <col min="7" max="8" width="30" customWidth="1"/>
    <col min="9" max="9" width="12" customWidth="1"/>
  </cols>
  <sheetData>
    <row r="1" spans="1:9" ht="21.75" customHeight="1" x14ac:dyDescent="0.35">
      <c r="A1" s="7" t="s">
        <v>65</v>
      </c>
      <c r="B1" s="7"/>
      <c r="C1" s="7"/>
      <c r="D1" s="7"/>
      <c r="E1" s="7"/>
      <c r="F1" s="7"/>
      <c r="G1" s="7"/>
      <c r="H1" s="7"/>
      <c r="I1" s="7"/>
    </row>
    <row r="2" spans="1:9" ht="21.75" customHeight="1" x14ac:dyDescent="0.35">
      <c r="A2" s="7"/>
      <c r="B2" s="7"/>
      <c r="C2" s="7"/>
      <c r="D2" s="7"/>
      <c r="E2" s="7"/>
      <c r="F2" s="7"/>
      <c r="G2" s="7"/>
      <c r="H2" s="7"/>
      <c r="I2" s="7"/>
    </row>
    <row r="3" spans="1:9" ht="15.75" customHeight="1" x14ac:dyDescent="0.35">
      <c r="A3" s="6" t="s">
        <v>66</v>
      </c>
      <c r="B3" s="6"/>
      <c r="C3" s="6"/>
      <c r="D3" s="6"/>
      <c r="E3" s="6"/>
      <c r="F3" s="6"/>
      <c r="G3" s="6"/>
      <c r="H3" s="6"/>
      <c r="I3" s="6"/>
    </row>
    <row r="5" spans="1:9" ht="31.5" customHeight="1" x14ac:dyDescent="0.35">
      <c r="A5" s="11" t="s">
        <v>34</v>
      </c>
      <c r="B5" s="11" t="s">
        <v>35</v>
      </c>
      <c r="C5" s="11" t="s">
        <v>56</v>
      </c>
      <c r="D5" s="11" t="s">
        <v>67</v>
      </c>
      <c r="E5" s="11" t="s">
        <v>68</v>
      </c>
      <c r="F5" s="11" t="s">
        <v>69</v>
      </c>
      <c r="G5" s="11" t="s">
        <v>70</v>
      </c>
      <c r="H5" s="11" t="s">
        <v>71</v>
      </c>
      <c r="I5" s="11" t="s">
        <v>50</v>
      </c>
    </row>
    <row r="6" spans="1:9" ht="30" customHeight="1" x14ac:dyDescent="0.35">
      <c r="A6" s="12">
        <v>1</v>
      </c>
      <c r="B6" s="13"/>
      <c r="C6" s="14"/>
      <c r="D6" s="14"/>
      <c r="E6" s="13"/>
      <c r="F6" s="13"/>
      <c r="G6" s="13"/>
      <c r="H6" s="14"/>
      <c r="I6" s="14"/>
    </row>
    <row r="7" spans="1:9" ht="30" customHeight="1" x14ac:dyDescent="0.35">
      <c r="A7" s="12">
        <v>2</v>
      </c>
      <c r="B7" s="13"/>
      <c r="C7" s="14"/>
      <c r="D7" s="14"/>
      <c r="E7" s="13"/>
      <c r="F7" s="13"/>
      <c r="G7" s="13"/>
      <c r="H7" s="14"/>
      <c r="I7" s="14"/>
    </row>
    <row r="8" spans="1:9" ht="30" customHeight="1" x14ac:dyDescent="0.35">
      <c r="A8" s="12">
        <v>3</v>
      </c>
      <c r="B8" s="13"/>
      <c r="C8" s="14"/>
      <c r="D8" s="14"/>
      <c r="E8" s="13"/>
      <c r="F8" s="13"/>
      <c r="G8" s="13"/>
      <c r="H8" s="14"/>
      <c r="I8" s="14"/>
    </row>
    <row r="9" spans="1:9" ht="30" customHeight="1" x14ac:dyDescent="0.35">
      <c r="A9" s="12">
        <v>4</v>
      </c>
      <c r="B9" s="13"/>
      <c r="C9" s="14"/>
      <c r="D9" s="14"/>
      <c r="E9" s="13"/>
      <c r="F9" s="13"/>
      <c r="G9" s="13"/>
      <c r="H9" s="14"/>
      <c r="I9" s="14"/>
    </row>
    <row r="10" spans="1:9" ht="30" customHeight="1" x14ac:dyDescent="0.35">
      <c r="A10" s="12">
        <v>5</v>
      </c>
      <c r="B10" s="13"/>
      <c r="C10" s="14"/>
      <c r="D10" s="14"/>
      <c r="E10" s="13"/>
      <c r="F10" s="13"/>
      <c r="G10" s="13"/>
      <c r="H10" s="14"/>
      <c r="I10" s="14"/>
    </row>
    <row r="11" spans="1:9" ht="30" customHeight="1" x14ac:dyDescent="0.35">
      <c r="A11" s="12">
        <v>6</v>
      </c>
      <c r="B11" s="13"/>
      <c r="C11" s="14"/>
      <c r="D11" s="14"/>
      <c r="E11" s="13"/>
      <c r="F11" s="13"/>
      <c r="G11" s="13"/>
      <c r="H11" s="14"/>
      <c r="I11" s="14"/>
    </row>
    <row r="12" spans="1:9" ht="30" customHeight="1" x14ac:dyDescent="0.35">
      <c r="A12" s="12">
        <v>7</v>
      </c>
      <c r="B12" s="13"/>
      <c r="C12" s="14"/>
      <c r="D12" s="14"/>
      <c r="E12" s="13"/>
      <c r="F12" s="13"/>
      <c r="G12" s="13"/>
      <c r="H12" s="14"/>
      <c r="I12" s="14"/>
    </row>
    <row r="13" spans="1:9" ht="30" customHeight="1" x14ac:dyDescent="0.35">
      <c r="A13" s="12">
        <v>8</v>
      </c>
      <c r="B13" s="13"/>
      <c r="C13" s="14"/>
      <c r="D13" s="14"/>
      <c r="E13" s="13"/>
      <c r="F13" s="13"/>
      <c r="G13" s="13"/>
      <c r="H13" s="14"/>
      <c r="I13" s="14"/>
    </row>
    <row r="14" spans="1:9" ht="30" customHeight="1" x14ac:dyDescent="0.35">
      <c r="A14" s="12">
        <v>9</v>
      </c>
      <c r="B14" s="13"/>
      <c r="C14" s="14"/>
      <c r="D14" s="14"/>
      <c r="E14" s="13"/>
      <c r="F14" s="13"/>
      <c r="G14" s="13"/>
      <c r="H14" s="14"/>
      <c r="I14" s="14"/>
    </row>
    <row r="15" spans="1:9" ht="30" customHeight="1" x14ac:dyDescent="0.35">
      <c r="A15" s="12">
        <v>10</v>
      </c>
      <c r="B15" s="13"/>
      <c r="C15" s="14"/>
      <c r="D15" s="14"/>
      <c r="E15" s="13"/>
      <c r="F15" s="13"/>
      <c r="G15" s="13"/>
      <c r="H15" s="14"/>
      <c r="I15" s="14"/>
    </row>
    <row r="16" spans="1:9" ht="30" customHeight="1" x14ac:dyDescent="0.35">
      <c r="A16" s="12">
        <v>11</v>
      </c>
      <c r="B16" s="13"/>
      <c r="C16" s="14"/>
      <c r="D16" s="14"/>
      <c r="E16" s="13"/>
      <c r="F16" s="13"/>
      <c r="G16" s="13"/>
      <c r="H16" s="14"/>
      <c r="I16" s="14"/>
    </row>
    <row r="17" spans="1:9" ht="30" customHeight="1" x14ac:dyDescent="0.35">
      <c r="A17" s="12">
        <v>12</v>
      </c>
      <c r="B17" s="13"/>
      <c r="C17" s="14"/>
      <c r="D17" s="14"/>
      <c r="E17" s="13"/>
      <c r="F17" s="13"/>
      <c r="G17" s="13"/>
      <c r="H17" s="14"/>
      <c r="I17" s="14"/>
    </row>
    <row r="18" spans="1:9" ht="30" customHeight="1" x14ac:dyDescent="0.35">
      <c r="A18" s="12">
        <v>13</v>
      </c>
      <c r="B18" s="13"/>
      <c r="C18" s="14"/>
      <c r="D18" s="14"/>
      <c r="E18" s="13"/>
      <c r="F18" s="13"/>
      <c r="G18" s="13"/>
      <c r="H18" s="14"/>
      <c r="I18" s="14"/>
    </row>
    <row r="19" spans="1:9" ht="30" customHeight="1" x14ac:dyDescent="0.35">
      <c r="A19" s="12">
        <v>14</v>
      </c>
      <c r="B19" s="13"/>
      <c r="C19" s="14"/>
      <c r="D19" s="14"/>
      <c r="E19" s="13"/>
      <c r="F19" s="13"/>
      <c r="G19" s="13"/>
      <c r="H19" s="14"/>
      <c r="I19" s="14"/>
    </row>
    <row r="20" spans="1:9" ht="30" customHeight="1" x14ac:dyDescent="0.35">
      <c r="A20" s="12">
        <v>15</v>
      </c>
      <c r="B20" s="13"/>
      <c r="C20" s="14"/>
      <c r="D20" s="14"/>
      <c r="E20" s="13"/>
      <c r="F20" s="13"/>
      <c r="G20" s="13"/>
      <c r="H20" s="14"/>
      <c r="I20" s="14"/>
    </row>
    <row r="21" spans="1:9" ht="30" customHeight="1" x14ac:dyDescent="0.35">
      <c r="A21" s="12">
        <v>16</v>
      </c>
      <c r="B21" s="13"/>
      <c r="C21" s="14"/>
      <c r="D21" s="14"/>
      <c r="E21" s="13"/>
      <c r="F21" s="13"/>
      <c r="G21" s="13"/>
      <c r="H21" s="14"/>
      <c r="I21" s="14"/>
    </row>
    <row r="22" spans="1:9" ht="30" customHeight="1" x14ac:dyDescent="0.35">
      <c r="A22" s="12">
        <v>17</v>
      </c>
      <c r="B22" s="13"/>
      <c r="C22" s="14"/>
      <c r="D22" s="14"/>
      <c r="E22" s="13"/>
      <c r="F22" s="13"/>
      <c r="G22" s="13"/>
      <c r="H22" s="14"/>
      <c r="I22" s="14"/>
    </row>
    <row r="23" spans="1:9" ht="30" customHeight="1" x14ac:dyDescent="0.35">
      <c r="A23" s="12">
        <v>18</v>
      </c>
      <c r="B23" s="13"/>
      <c r="C23" s="14"/>
      <c r="D23" s="14"/>
      <c r="E23" s="13"/>
      <c r="F23" s="13"/>
      <c r="G23" s="13"/>
      <c r="H23" s="14"/>
      <c r="I23" s="14"/>
    </row>
    <row r="24" spans="1:9" ht="30" customHeight="1" x14ac:dyDescent="0.35">
      <c r="A24" s="12">
        <v>19</v>
      </c>
      <c r="B24" s="13"/>
      <c r="C24" s="14"/>
      <c r="D24" s="14"/>
      <c r="E24" s="13"/>
      <c r="F24" s="13"/>
      <c r="G24" s="13"/>
      <c r="H24" s="14"/>
      <c r="I24" s="14"/>
    </row>
    <row r="25" spans="1:9" ht="30" customHeight="1" x14ac:dyDescent="0.35">
      <c r="A25" s="12">
        <v>20</v>
      </c>
      <c r="B25" s="13"/>
      <c r="C25" s="14"/>
      <c r="D25" s="14"/>
      <c r="E25" s="13"/>
      <c r="F25" s="13"/>
      <c r="G25" s="13"/>
      <c r="H25" s="14"/>
      <c r="I25" s="14"/>
    </row>
    <row r="26" spans="1:9" ht="30" customHeight="1" x14ac:dyDescent="0.35">
      <c r="A26" s="12">
        <v>21</v>
      </c>
      <c r="B26" s="13"/>
      <c r="C26" s="14"/>
      <c r="D26" s="14"/>
      <c r="E26" s="13"/>
      <c r="F26" s="13"/>
      <c r="G26" s="13"/>
      <c r="H26" s="14"/>
      <c r="I26" s="14"/>
    </row>
    <row r="27" spans="1:9" ht="30" customHeight="1" x14ac:dyDescent="0.35">
      <c r="A27" s="12">
        <v>22</v>
      </c>
      <c r="B27" s="13"/>
      <c r="C27" s="14"/>
      <c r="D27" s="14"/>
      <c r="E27" s="13"/>
      <c r="F27" s="13"/>
      <c r="G27" s="13"/>
      <c r="H27" s="14"/>
      <c r="I27" s="14"/>
    </row>
    <row r="28" spans="1:9" ht="30" customHeight="1" x14ac:dyDescent="0.35">
      <c r="A28" s="12">
        <v>23</v>
      </c>
      <c r="B28" s="13"/>
      <c r="C28" s="14"/>
      <c r="D28" s="14"/>
      <c r="E28" s="13"/>
      <c r="F28" s="13"/>
      <c r="G28" s="13"/>
      <c r="H28" s="14"/>
      <c r="I28" s="14"/>
    </row>
    <row r="29" spans="1:9" ht="30" customHeight="1" x14ac:dyDescent="0.35">
      <c r="A29" s="12">
        <v>24</v>
      </c>
      <c r="B29" s="13"/>
      <c r="C29" s="14"/>
      <c r="D29" s="14"/>
      <c r="E29" s="13"/>
      <c r="F29" s="13"/>
      <c r="G29" s="13"/>
      <c r="H29" s="14"/>
      <c r="I29" s="14"/>
    </row>
    <row r="30" spans="1:9" ht="30" customHeight="1" x14ac:dyDescent="0.35">
      <c r="A30" s="12">
        <v>25</v>
      </c>
      <c r="B30" s="13"/>
      <c r="C30" s="14"/>
      <c r="D30" s="14"/>
      <c r="E30" s="13"/>
      <c r="F30" s="13"/>
      <c r="G30" s="13"/>
      <c r="H30" s="14"/>
      <c r="I30" s="14"/>
    </row>
    <row r="31" spans="1:9" ht="30" customHeight="1" x14ac:dyDescent="0.35">
      <c r="A31" s="12">
        <v>26</v>
      </c>
      <c r="B31" s="13"/>
      <c r="C31" s="14"/>
      <c r="D31" s="14"/>
      <c r="E31" s="13"/>
      <c r="F31" s="13"/>
      <c r="G31" s="13"/>
      <c r="H31" s="14"/>
      <c r="I31" s="14"/>
    </row>
    <row r="32" spans="1:9" ht="30" customHeight="1" x14ac:dyDescent="0.35">
      <c r="A32" s="12">
        <v>27</v>
      </c>
      <c r="B32" s="13"/>
      <c r="C32" s="14"/>
      <c r="D32" s="14"/>
      <c r="E32" s="13"/>
      <c r="F32" s="13"/>
      <c r="G32" s="13"/>
      <c r="H32" s="14"/>
      <c r="I32" s="14"/>
    </row>
    <row r="33" spans="1:9" ht="30" customHeight="1" x14ac:dyDescent="0.35">
      <c r="A33" s="12">
        <v>28</v>
      </c>
      <c r="B33" s="13"/>
      <c r="C33" s="14"/>
      <c r="D33" s="14"/>
      <c r="E33" s="13"/>
      <c r="F33" s="13"/>
      <c r="G33" s="13"/>
      <c r="H33" s="14"/>
      <c r="I33" s="14"/>
    </row>
    <row r="34" spans="1:9" ht="30" customHeight="1" x14ac:dyDescent="0.35">
      <c r="A34" s="12">
        <v>29</v>
      </c>
      <c r="B34" s="13"/>
      <c r="C34" s="14"/>
      <c r="D34" s="14"/>
      <c r="E34" s="13"/>
      <c r="F34" s="13"/>
      <c r="G34" s="13"/>
      <c r="H34" s="14"/>
      <c r="I34" s="14"/>
    </row>
    <row r="35" spans="1:9" ht="30" customHeight="1" x14ac:dyDescent="0.35">
      <c r="A35" s="12">
        <v>30</v>
      </c>
      <c r="B35" s="13"/>
      <c r="C35" s="14"/>
      <c r="D35" s="14"/>
      <c r="E35" s="13"/>
      <c r="F35" s="13"/>
      <c r="G35" s="13"/>
      <c r="H35" s="14"/>
      <c r="I35" s="14"/>
    </row>
  </sheetData>
  <mergeCells count="2">
    <mergeCell ref="A1:I2"/>
    <mergeCell ref="A3:I3"/>
  </mergeCells>
  <conditionalFormatting sqref="D6:D35">
    <cfRule type="expression" dxfId="5" priority="2">
      <formula>D6="Critical"</formula>
    </cfRule>
    <cfRule type="expression" dxfId="4" priority="3">
      <formula>D6="High"</formula>
    </cfRule>
    <cfRule type="expression" dxfId="3" priority="4">
      <formula>D6="Medium"</formula>
    </cfRule>
    <cfRule type="expression" dxfId="2" priority="5">
      <formula>D6="Low"</formula>
    </cfRule>
  </conditionalFormatting>
  <conditionalFormatting sqref="I6:I35">
    <cfRule type="expression" dxfId="1" priority="6">
      <formula>I6="Closed"</formula>
    </cfRule>
    <cfRule type="expression" dxfId="0" priority="7">
      <formula>I6="Open"</formula>
    </cfRule>
  </conditionalFormatting>
  <dataValidations count="2">
    <dataValidation type="list" allowBlank="1" sqref="D6:D35" xr:uid="{00000000-0002-0000-0400-000000000000}">
      <formula1>"Critical,High,Medium,Low"</formula1>
      <formula2>0</formula2>
    </dataValidation>
    <dataValidation type="list" allowBlank="1" sqref="I6:I35" xr:uid="{00000000-0002-0000-0400-000001000000}">
      <formula1>"Open,In Progress,Fixed,Retested,Closed,Deferred"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1"/>
  <sheetViews>
    <sheetView showGridLines="0" zoomScaleNormal="100" workbookViewId="0">
      <selection sqref="A1:H2"/>
    </sheetView>
  </sheetViews>
  <sheetFormatPr defaultColWidth="8.6328125" defaultRowHeight="14.5" x14ac:dyDescent="0.35"/>
  <cols>
    <col min="1" max="1" width="3" customWidth="1"/>
    <col min="2" max="2" width="22" customWidth="1"/>
    <col min="3" max="8" width="16" customWidth="1"/>
  </cols>
  <sheetData>
    <row r="1" spans="1:8" ht="21.75" customHeight="1" x14ac:dyDescent="0.35">
      <c r="A1" s="7" t="s">
        <v>72</v>
      </c>
      <c r="B1" s="7"/>
      <c r="C1" s="7"/>
      <c r="D1" s="7"/>
      <c r="E1" s="7"/>
      <c r="F1" s="7"/>
      <c r="G1" s="7"/>
      <c r="H1" s="7"/>
    </row>
    <row r="2" spans="1:8" ht="21.75" customHeight="1" x14ac:dyDescent="0.35">
      <c r="A2" s="7"/>
      <c r="B2" s="7"/>
      <c r="C2" s="7"/>
      <c r="D2" s="7"/>
      <c r="E2" s="7"/>
      <c r="F2" s="7"/>
      <c r="G2" s="7"/>
      <c r="H2" s="7"/>
    </row>
    <row r="3" spans="1:8" ht="15.75" customHeight="1" x14ac:dyDescent="0.35">
      <c r="A3" s="6" t="s">
        <v>73</v>
      </c>
      <c r="B3" s="6"/>
      <c r="C3" s="6"/>
      <c r="D3" s="6"/>
      <c r="E3" s="6"/>
      <c r="F3" s="6"/>
      <c r="G3" s="6"/>
      <c r="H3" s="6"/>
    </row>
    <row r="5" spans="1:8" ht="15.75" customHeight="1" x14ac:dyDescent="0.35">
      <c r="B5" s="3" t="s">
        <v>74</v>
      </c>
      <c r="C5" s="3"/>
      <c r="D5" s="3" t="s">
        <v>75</v>
      </c>
      <c r="E5" s="3"/>
      <c r="F5" s="3" t="s">
        <v>76</v>
      </c>
      <c r="G5" s="3"/>
    </row>
    <row r="6" spans="1:8" ht="30" customHeight="1" x14ac:dyDescent="0.35">
      <c r="B6" s="2">
        <f>SUMPRODUCT(('Execution Log'!B6:B65&lt;&gt;"")/COUNTIF('Execution Log'!B6:B65,'Execution Log'!B6:B65&amp;""))</f>
        <v>0</v>
      </c>
      <c r="C6" s="2"/>
      <c r="D6" s="2">
        <f>COUNTA('Execution Log'!B6:B65)</f>
        <v>0</v>
      </c>
      <c r="E6" s="2"/>
      <c r="F6" s="2">
        <f>COUNTIF('Execution Log'!M6:M65,"PASS")</f>
        <v>0</v>
      </c>
      <c r="G6" s="2"/>
    </row>
    <row r="8" spans="1:8" ht="15.75" customHeight="1" x14ac:dyDescent="0.35">
      <c r="B8" s="3" t="s">
        <v>77</v>
      </c>
      <c r="C8" s="3"/>
      <c r="D8" s="3" t="s">
        <v>78</v>
      </c>
      <c r="E8" s="3"/>
      <c r="F8" s="3" t="s">
        <v>79</v>
      </c>
      <c r="G8" s="3"/>
    </row>
    <row r="9" spans="1:8" ht="30" customHeight="1" x14ac:dyDescent="0.35">
      <c r="B9" s="2">
        <f>COUNTIF('Execution Log'!M6:M65,"FAIL")</f>
        <v>0</v>
      </c>
      <c r="C9" s="2"/>
      <c r="D9" s="1">
        <f>IFERROR(COUNTIF('Execution Log'!M6:M65,"PASS")/(COUNTIF('Execution Log'!M6:M65,"PASS")+COUNTIF('Execution Log'!M6:M65,"FAIL")),0)</f>
        <v>0</v>
      </c>
      <c r="E9" s="1"/>
      <c r="F9" s="1">
        <f>IFERROR(AVERAGE('Execution Log'!L6:L65),0)</f>
        <v>0</v>
      </c>
      <c r="G9" s="1"/>
    </row>
    <row r="30" spans="2:3" ht="15" customHeight="1" x14ac:dyDescent="0.35">
      <c r="B30" s="21" t="s">
        <v>80</v>
      </c>
      <c r="C30" s="21">
        <f>COUNTIF('Execution Log'!M6:M65,"PASS")</f>
        <v>0</v>
      </c>
    </row>
    <row r="31" spans="2:3" ht="15" customHeight="1" x14ac:dyDescent="0.35">
      <c r="B31" s="21" t="s">
        <v>81</v>
      </c>
      <c r="C31" s="21">
        <f>COUNTIF('Execution Log'!M6:M65,"FAIL")</f>
        <v>0</v>
      </c>
    </row>
  </sheetData>
  <mergeCells count="14">
    <mergeCell ref="B9:C9"/>
    <mergeCell ref="D9:E9"/>
    <mergeCell ref="F9:G9"/>
    <mergeCell ref="B6:C6"/>
    <mergeCell ref="D6:E6"/>
    <mergeCell ref="F6:G6"/>
    <mergeCell ref="B8:C8"/>
    <mergeCell ref="D8:E8"/>
    <mergeCell ref="F8:G8"/>
    <mergeCell ref="A1:H2"/>
    <mergeCell ref="A3:H3"/>
    <mergeCell ref="B5:C5"/>
    <mergeCell ref="D5:E5"/>
    <mergeCell ref="F5:G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"/>
  <sheetViews>
    <sheetView showGridLines="0" zoomScaleNormal="100" workbookViewId="0">
      <selection sqref="A1:E2"/>
    </sheetView>
  </sheetViews>
  <sheetFormatPr defaultColWidth="8.6328125" defaultRowHeight="14.5" x14ac:dyDescent="0.35"/>
  <cols>
    <col min="1" max="1" width="4" customWidth="1"/>
    <col min="2" max="2" width="26" customWidth="1"/>
    <col min="3" max="3" width="30" customWidth="1"/>
    <col min="4" max="4" width="26" customWidth="1"/>
    <col min="5" max="5" width="30" customWidth="1"/>
  </cols>
  <sheetData>
    <row r="1" spans="1:5" ht="21.75" customHeight="1" x14ac:dyDescent="0.35">
      <c r="A1" s="7" t="s">
        <v>82</v>
      </c>
      <c r="B1" s="7"/>
      <c r="C1" s="7"/>
      <c r="D1" s="7"/>
      <c r="E1" s="7"/>
    </row>
    <row r="2" spans="1:5" ht="21.75" customHeight="1" x14ac:dyDescent="0.35">
      <c r="A2" s="7"/>
      <c r="B2" s="7"/>
      <c r="C2" s="7"/>
      <c r="D2" s="7"/>
      <c r="E2" s="7"/>
    </row>
    <row r="3" spans="1:5" ht="15.75" customHeight="1" x14ac:dyDescent="0.35">
      <c r="A3" s="6" t="s">
        <v>83</v>
      </c>
      <c r="B3" s="6"/>
      <c r="C3" s="6"/>
      <c r="D3" s="6"/>
      <c r="E3" s="6"/>
    </row>
    <row r="5" spans="1:5" ht="19.5" customHeight="1" x14ac:dyDescent="0.35">
      <c r="B5" s="9" t="s">
        <v>84</v>
      </c>
      <c r="C5" s="10"/>
      <c r="D5" s="9" t="s">
        <v>85</v>
      </c>
      <c r="E5" s="10"/>
    </row>
    <row r="6" spans="1:5" ht="19.5" customHeight="1" x14ac:dyDescent="0.35">
      <c r="B6" s="9" t="s">
        <v>86</v>
      </c>
      <c r="C6" s="10"/>
      <c r="D6" s="9" t="s">
        <v>87</v>
      </c>
      <c r="E6" s="10"/>
    </row>
    <row r="7" spans="1:5" ht="19.5" customHeight="1" x14ac:dyDescent="0.35">
      <c r="B7" s="9" t="s">
        <v>88</v>
      </c>
      <c r="C7" s="10"/>
    </row>
    <row r="9" spans="1:5" ht="21.75" customHeight="1" x14ac:dyDescent="0.35">
      <c r="B9" s="4" t="s">
        <v>89</v>
      </c>
      <c r="C9" s="4"/>
      <c r="D9" s="4"/>
      <c r="E9" s="4"/>
    </row>
    <row r="10" spans="1:5" ht="15" customHeight="1" x14ac:dyDescent="0.35">
      <c r="B10" s="11" t="s">
        <v>90</v>
      </c>
      <c r="C10" s="11" t="s">
        <v>91</v>
      </c>
      <c r="D10" s="11" t="s">
        <v>92</v>
      </c>
      <c r="E10" s="11" t="s">
        <v>93</v>
      </c>
    </row>
    <row r="11" spans="1:5" ht="21.75" customHeight="1" x14ac:dyDescent="0.35">
      <c r="B11" s="22" t="s">
        <v>94</v>
      </c>
      <c r="C11" s="23"/>
      <c r="D11" s="23"/>
      <c r="E11" s="23"/>
    </row>
    <row r="12" spans="1:5" ht="21.75" customHeight="1" x14ac:dyDescent="0.35">
      <c r="B12" s="22" t="s">
        <v>95</v>
      </c>
      <c r="C12" s="23"/>
      <c r="D12" s="23"/>
      <c r="E12" s="23"/>
    </row>
    <row r="13" spans="1:5" ht="21.75" customHeight="1" x14ac:dyDescent="0.35">
      <c r="B13" s="22" t="s">
        <v>96</v>
      </c>
      <c r="C13" s="23"/>
      <c r="D13" s="23"/>
      <c r="E13" s="23"/>
    </row>
    <row r="14" spans="1:5" ht="21.75" customHeight="1" x14ac:dyDescent="0.35">
      <c r="B14" s="22" t="s">
        <v>97</v>
      </c>
      <c r="C14" s="23"/>
      <c r="D14" s="23"/>
      <c r="E14" s="23"/>
    </row>
  </sheetData>
  <mergeCells count="3">
    <mergeCell ref="A1:E2"/>
    <mergeCell ref="A3:E3"/>
    <mergeCell ref="B9:E9"/>
  </mergeCells>
  <dataValidations count="1">
    <dataValidation type="list" allowBlank="1" sqref="C5" xr:uid="{00000000-0002-0000-0600-000000000000}">
      <formula1>"PASS,PASS WITH OBSERVATIONS,FAIL,CONDITIONAL PASS"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Test Config</vt:lpstr>
      <vt:lpstr>Execution Log</vt:lpstr>
      <vt:lpstr>Resource Utilization</vt:lpstr>
      <vt:lpstr>Observations &amp; Defects</vt:lpstr>
      <vt:lpstr>Dashboard</vt:lpstr>
      <vt:lpstr>Sign-off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udayakumar.diravidamani@tristhaglobal.com</dc:creator>
  <dc:description/>
  <cp:lastModifiedBy>Udayakumar Diravidamani</cp:lastModifiedBy>
  <cp:revision>3</cp:revision>
  <dcterms:created xsi:type="dcterms:W3CDTF">2026-07-06T05:29:39Z</dcterms:created>
  <dcterms:modified xsi:type="dcterms:W3CDTF">2026-07-06T05:38:35Z</dcterms:modified>
  <dc:language>en-US</dc:language>
</cp:coreProperties>
</file>